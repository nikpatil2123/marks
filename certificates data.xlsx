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<sst xmlns="http://schemas.openxmlformats.org/spreadsheetml/2006/main" count="2370" uniqueCount="2370">
  <si>
    <t>Timestamp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</si>
  <si>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</si>
  <si>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</si>
  <si>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</si>
  <si>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</si>
  <si>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</si>
  <si>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</si>
  <si>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</si>
  <si>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</si>
  <si>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 xml:space="preserve">Nirmita patel</t>
  </si>
  <si>
    <t>EVS</t>
  </si>
  <si>
    <t>2526ECD0001</t>
  </si>
  <si>
    <t>1VQP3JiJ97FtkwOUsPS27KGWckg_iRo6x</t>
  </si>
  <si>
    <t>https://drive.google.com/file/d/1VQP3JiJ97FtkwOUsPS27KGWckg_iRo6x/view?usp=drivesdk</t>
  </si>
  <si>
    <t xml:space="preserve">Document successfully created; Document successfully merged; PDF created; Manually run by nirmita.patel27183@paruluniversity.ac.in; Timestamp: Apr 24 2026 2:03 AM</t>
  </si>
  <si>
    <t>BBA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</si>
  <si>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</si>
  <si>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</si>
  <si>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</si>
  <si>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</si>
  <si>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</si>
  <si>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</si>
  <si>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</si>
  <si>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</si>
  <si>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</si>
  <si>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</si>
  <si>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</si>
  <si>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</si>
  <si>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</si>
  <si>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</si>
  <si>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</si>
  <si>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</si>
  <si>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</si>
  <si>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</si>
  <si>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</si>
  <si>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</si>
  <si>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</si>
  <si>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</si>
  <si>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</si>
  <si>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</si>
  <si>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</si>
  <si>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</si>
  <si>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</si>
  <si>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</si>
  <si>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</si>
  <si>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</si>
  <si>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</si>
  <si>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</si>
  <si>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</si>
  <si>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</si>
  <si>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</si>
  <si>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</si>
  <si>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</si>
  <si>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</si>
  <si>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</si>
  <si>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</si>
  <si>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</si>
  <si>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</si>
  <si>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</si>
  <si>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</si>
  <si>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</si>
  <si>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</si>
  <si>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</si>
  <si>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</si>
  <si>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</si>
  <si>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</si>
  <si>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</si>
  <si>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</si>
  <si>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</si>
  <si>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</si>
  <si>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</si>
  <si>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</si>
  <si>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</si>
  <si>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</si>
  <si>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</si>
  <si>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</si>
  <si>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</si>
  <si>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</si>
  <si>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</si>
  <si>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</si>
  <si>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</si>
  <si>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</si>
  <si>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</si>
  <si>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</si>
  <si>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</si>
  <si>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</si>
  <si>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</si>
  <si>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</si>
  <si>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</si>
  <si>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</si>
  <si>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</si>
  <si>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</si>
  <si>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</si>
  <si>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</si>
  <si>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</si>
  <si>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</si>
  <si>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</si>
  <si>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</si>
  <si>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</si>
  <si>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</si>
  <si>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</si>
  <si>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</si>
  <si>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</si>
  <si>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</si>
  <si>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</si>
  <si>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</si>
  <si>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>Commerce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</si>
  <si>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</si>
  <si>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</si>
  <si>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</si>
  <si>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</si>
  <si>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</si>
  <si>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</si>
  <si>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</si>
  <si>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</si>
  <si>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</si>
  <si>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</si>
  <si>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</si>
  <si>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</si>
  <si>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</si>
  <si>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</si>
  <si>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</si>
  <si>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</si>
  <si>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</si>
  <si>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</si>
  <si>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</si>
  <si>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</si>
  <si>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</si>
  <si>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</si>
  <si>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</si>
  <si>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</si>
  <si>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</si>
  <si>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</si>
  <si>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</si>
  <si>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</si>
  <si>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</si>
  <si>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</si>
  <si>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</si>
  <si>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</si>
  <si>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</si>
  <si>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</si>
  <si>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</si>
  <si>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</si>
  <si>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</si>
  <si>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</si>
  <si>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</si>
  <si>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</si>
  <si>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</si>
  <si>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</si>
  <si>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</si>
  <si>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</si>
  <si>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</si>
  <si>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</si>
  <si>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</si>
  <si>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</si>
  <si>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</si>
  <si>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</si>
  <si>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</si>
  <si>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</si>
  <si>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>PIET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</si>
  <si>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</si>
  <si>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</si>
  <si>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</si>
  <si>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</si>
  <si>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</si>
  <si>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</si>
  <si>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</si>
  <si>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</si>
  <si>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</si>
  <si>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</si>
  <si>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</si>
  <si>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</si>
  <si>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</si>
  <si>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</si>
  <si>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</si>
  <si>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</si>
  <si>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</si>
  <si>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</si>
  <si>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</si>
  <si>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</si>
  <si>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</si>
  <si>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</si>
  <si>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</si>
  <si>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</si>
  <si>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</si>
  <si>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</si>
  <si>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</si>
  <si>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</si>
  <si>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</si>
  <si>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</si>
  <si>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</si>
  <si>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</si>
  <si>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</si>
  <si>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</si>
  <si>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</si>
  <si>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</si>
  <si>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 xml:space="preserve">Mr. Dhruv Rana</t>
  </si>
  <si>
    <t xml:space="preserve">Web Designing</t>
  </si>
  <si>
    <t>2526ECD0185</t>
  </si>
  <si>
    <t>1M3rNkYnQf94spUtHSjBtUhHy7c5lEEAw</t>
  </si>
  <si>
    <t>https://drive.google.com/file/d/1M3rNkYnQf94spUtHSjBtUhHy7c5lEEAw/view?usp=drivesdk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</si>
  <si>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</si>
  <si>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</si>
  <si>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</si>
  <si>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</si>
  <si>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</si>
  <si>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</si>
  <si>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</si>
  <si>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</si>
  <si>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</si>
  <si>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</si>
  <si>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</si>
  <si>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</si>
  <si>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</si>
  <si>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</si>
  <si>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</si>
  <si>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</si>
  <si>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Prof. Vishal Jain</t>
  </si>
  <si>
    <t xml:space="preserve">Elements of Thermal and Fluid System</t>
  </si>
  <si>
    <t>2526ECD0189</t>
  </si>
  <si>
    <t>156a2MZK_GBFe29cTXpPkXyTfSZsRYIIY</t>
  </si>
  <si>
    <t>https://drive.google.com/file/d/156a2MZK_GBFe29cTXpPkXyTfSZsRYIIY/view?usp=drivesdk</t>
  </si>
  <si>
    <t xml:space="preserve">Mr. Manan Shah</t>
  </si>
  <si>
    <t xml:space="preserve">Engineering Graphics &amp; Design</t>
  </si>
  <si>
    <t>2526ECD0190</t>
  </si>
  <si>
    <t>1oewzgJ04y8j1yq4YT2jgVPrKme7zJ1Y9</t>
  </si>
  <si>
    <t>https://drive.google.com/file/d/1oewzgJ04y8j1yq4YT2jgVPrKme7zJ1Y9/view?usp=drivesdk</t>
  </si>
  <si>
    <t xml:space="preserve">Ms. Jalpa Zalawadia</t>
  </si>
  <si>
    <t xml:space="preserve">Workshop &amp; Manufacturing Practice</t>
  </si>
  <si>
    <t>2526ECD0191</t>
  </si>
  <si>
    <t>1XPDn36om-RW-QqO92Mb8pdNS_ryJ_HYS</t>
  </si>
  <si>
    <t>https://drive.google.com/file/d/1XPDn36om-RW-QqO92Mb8pdNS_ryJ_HYS/view?usp=drivesdk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</si>
  <si>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</si>
  <si>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</si>
  <si>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</si>
  <si>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</si>
  <si>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</si>
  <si>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</si>
  <si>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</si>
  <si>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</si>
  <si>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</si>
  <si>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</si>
  <si>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</si>
  <si>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</si>
  <si>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</si>
  <si>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</si>
  <si>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</si>
  <si>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</si>
  <si>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</si>
  <si>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</si>
  <si>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</si>
  <si>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</si>
  <si>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</si>
  <si>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</si>
  <si>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</si>
  <si>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</si>
  <si>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</si>
  <si>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</si>
  <si>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</si>
  <si>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</si>
  <si>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</si>
  <si>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</si>
  <si>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</si>
  <si>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</si>
  <si>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</si>
  <si>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</si>
  <si>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</si>
  <si>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</si>
  <si>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</si>
  <si>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</si>
  <si>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>PIHMCT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</si>
  <si>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</si>
  <si>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</si>
  <si>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</si>
  <si>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</si>
  <si>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</si>
  <si>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</si>
  <si>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</si>
  <si>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</si>
  <si>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</si>
  <si>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</si>
  <si>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</si>
  <si>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</si>
  <si>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</si>
  <si>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</si>
  <si>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</si>
  <si>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</si>
  <si>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</si>
  <si>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</si>
  <si>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</si>
  <si>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</si>
  <si>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</si>
  <si>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</si>
  <si>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</si>
  <si>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</si>
  <si>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</si>
  <si>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</si>
  <si>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</si>
  <si>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</si>
  <si>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</si>
  <si>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</si>
  <si>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</si>
  <si>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</si>
  <si>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</si>
  <si>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</si>
  <si>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</si>
  <si>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</si>
  <si>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</si>
  <si>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</si>
  <si>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</si>
  <si>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</si>
  <si>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</si>
  <si>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</si>
  <si>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</si>
  <si>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</si>
  <si>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</si>
  <si>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</si>
  <si>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</si>
  <si>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</si>
  <si>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</si>
  <si>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</si>
  <si>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</si>
  <si>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</si>
  <si>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</si>
  <si>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</si>
  <si>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</si>
  <si>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</si>
  <si>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</si>
  <si>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</si>
  <si>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</si>
  <si>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</si>
  <si>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</si>
  <si>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</si>
  <si>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</si>
  <si>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</si>
  <si>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</si>
  <si>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</si>
  <si>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</si>
  <si>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</si>
  <si>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</si>
  <si>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</si>
  <si>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</si>
  <si>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</si>
  <si>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</si>
  <si>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</si>
  <si>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</si>
  <si>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</si>
  <si>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</si>
  <si>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</si>
  <si>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</si>
  <si>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</si>
  <si>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</si>
  <si>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</si>
  <si>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</si>
  <si>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>LAW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</si>
  <si>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</si>
  <si>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</si>
  <si>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</si>
  <si>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</si>
  <si>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</si>
  <si>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</si>
  <si>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</si>
  <si>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</si>
  <si>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</si>
  <si>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</si>
  <si>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</si>
  <si>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</si>
  <si>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</si>
  <si>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</si>
  <si>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</si>
  <si>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</si>
  <si>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</si>
  <si>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</si>
  <si>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</si>
  <si>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</si>
  <si>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</si>
  <si>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</si>
  <si>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</si>
  <si>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</si>
  <si>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</si>
  <si>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</si>
  <si>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</si>
  <si>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</si>
  <si>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</si>
  <si>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</si>
  <si>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</si>
  <si>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</si>
  <si>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</si>
  <si>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</si>
  <si>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</si>
  <si>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</si>
  <si>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</si>
  <si>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</si>
  <si>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</si>
  <si>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</si>
  <si>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</si>
  <si>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</si>
  <si>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</si>
  <si>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</si>
  <si>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</si>
  <si>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</si>
  <si>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</si>
  <si>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</si>
  <si>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</si>
  <si>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</si>
  <si>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</si>
  <si>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</si>
  <si>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</si>
  <si>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</si>
  <si>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</si>
  <si>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</si>
  <si>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</si>
  <si>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</si>
  <si>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</si>
  <si>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</si>
  <si>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</si>
  <si>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</si>
  <si>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</si>
  <si>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</si>
  <si>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</si>
  <si>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</si>
  <si>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</si>
  <si>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</si>
  <si>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</si>
  <si>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</si>
  <si>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</si>
  <si>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</si>
  <si>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</si>
  <si>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</si>
  <si>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</si>
  <si>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</si>
  <si>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</si>
  <si>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</si>
  <si>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</si>
  <si>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</si>
  <si>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</si>
  <si>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</si>
  <si>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</si>
  <si>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</si>
  <si>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</si>
  <si>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</si>
  <si>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</si>
  <si>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</si>
  <si>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</si>
  <si>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</si>
  <si>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</si>
  <si>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</si>
  <si>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>PISW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</si>
  <si>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</si>
  <si>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</si>
  <si>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</si>
  <si>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</si>
  <si>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</si>
  <si>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</si>
  <si>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</si>
  <si>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</si>
  <si>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</si>
  <si>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</si>
  <si>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</si>
  <si>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</si>
  <si>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</si>
  <si>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</si>
  <si>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</si>
  <si>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</si>
  <si>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</si>
  <si>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</si>
  <si>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</si>
  <si>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</si>
  <si>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</si>
  <si>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</si>
  <si>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</si>
  <si>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</si>
  <si>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</si>
  <si>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</si>
  <si>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</si>
  <si>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>PIT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</si>
  <si>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</si>
  <si>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</si>
  <si>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</si>
  <si>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</si>
  <si>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</si>
  <si>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</si>
  <si>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</si>
  <si>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</si>
  <si>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</si>
  <si>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</si>
  <si>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</si>
  <si>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</si>
  <si>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</si>
  <si>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</si>
  <si>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</si>
  <si>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</si>
  <si>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</si>
  <si>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</si>
  <si>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</si>
  <si>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</si>
  <si>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</si>
  <si>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</si>
  <si>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</si>
  <si>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</si>
  <si>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</si>
  <si>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</si>
  <si>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</si>
  <si>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</si>
  <si>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</si>
  <si>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</si>
  <si>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</si>
  <si>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</si>
  <si>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</si>
  <si>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</si>
  <si>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</si>
  <si>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</si>
  <si>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</si>
  <si>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</si>
  <si>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</si>
  <si>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</si>
  <si>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</si>
  <si>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</si>
  <si>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</si>
  <si>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</si>
  <si>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</si>
  <si>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</si>
  <si>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</si>
  <si>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</si>
  <si>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</si>
  <si>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</si>
  <si>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</si>
  <si>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</si>
  <si>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</si>
  <si>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</si>
  <si>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</si>
  <si>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</si>
  <si>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</si>
  <si>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</si>
  <si>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</si>
  <si>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</si>
  <si>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</si>
  <si>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</si>
  <si>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</si>
  <si>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</si>
  <si>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</si>
  <si>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</si>
  <si>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</si>
  <si>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</si>
  <si>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</si>
  <si>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</si>
  <si>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</si>
  <si>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</si>
  <si>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</si>
  <si>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</si>
  <si>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</si>
  <si>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</si>
  <si>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</si>
  <si>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</si>
  <si>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</si>
  <si>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</si>
  <si>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</si>
  <si>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</si>
  <si>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</si>
  <si>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</si>
  <si>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</si>
  <si>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</si>
  <si>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</si>
  <si>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</si>
  <si>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</si>
  <si>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</si>
  <si>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</si>
  <si>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</si>
  <si>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</si>
  <si>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</si>
  <si>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</si>
  <si>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</si>
  <si>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</si>
  <si>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</si>
  <si>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</si>
  <si>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</si>
  <si>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</si>
  <si>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</si>
  <si>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</si>
  <si>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</si>
  <si>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</si>
  <si>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</si>
  <si>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</si>
  <si>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</si>
  <si>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</si>
  <si>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</si>
  <si>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</si>
  <si>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</si>
  <si>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</si>
  <si>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</si>
  <si>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</si>
  <si>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</si>
  <si>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</si>
  <si>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</si>
  <si>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</si>
  <si>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</si>
  <si>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</si>
  <si>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</si>
  <si>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</si>
  <si>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</si>
  <si>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</si>
  <si>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</si>
  <si>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</si>
  <si>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</si>
  <si>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</si>
  <si>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</si>
  <si>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</si>
  <si>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</si>
  <si>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</si>
  <si>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</si>
  <si>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</si>
  <si>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</si>
  <si>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</si>
  <si>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</si>
  <si>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</si>
  <si>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</si>
  <si>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</si>
  <si>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</si>
  <si>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</si>
  <si>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</si>
  <si>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</si>
  <si>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</si>
  <si>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</si>
  <si>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</si>
  <si>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</si>
  <si>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</si>
  <si>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</si>
  <si>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</si>
  <si>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</si>
  <si>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</si>
  <si>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</si>
  <si>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</si>
  <si>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</si>
  <si>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</si>
  <si>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</si>
  <si>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</si>
  <si>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</si>
  <si>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</si>
  <si>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</si>
  <si>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</si>
  <si>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</si>
  <si>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</si>
  <si>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</si>
  <si>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</si>
  <si>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</si>
  <si>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</si>
  <si>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</si>
  <si>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</si>
  <si>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</si>
  <si>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</si>
  <si>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</si>
  <si>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</si>
  <si>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</si>
  <si>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</si>
  <si>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</si>
  <si>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</si>
  <si>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</si>
  <si>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</si>
  <si>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</si>
  <si>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</si>
  <si>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</si>
  <si>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</si>
  <si>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</si>
  <si>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</si>
  <si>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</si>
  <si>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</si>
  <si>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</si>
  <si>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</si>
  <si>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</si>
  <si>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</si>
  <si>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</si>
  <si>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</si>
  <si>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</si>
  <si>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</si>
  <si>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</si>
  <si>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</si>
  <si>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</si>
  <si>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</si>
  <si>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</si>
  <si>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</si>
  <si>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</si>
  <si>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</si>
  <si>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</si>
  <si>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</si>
  <si>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</si>
  <si>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</si>
  <si>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</si>
  <si>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</si>
  <si>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</si>
  <si>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</si>
  <si>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</si>
  <si>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</si>
  <si>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</si>
  <si>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</si>
  <si>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</si>
  <si>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</si>
  <si>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</si>
  <si>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</si>
  <si>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</si>
  <si>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</si>
  <si>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</si>
  <si>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</si>
  <si>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</si>
  <si>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</si>
  <si>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</si>
  <si>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</si>
  <si>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</si>
  <si>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</si>
  <si>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</si>
  <si>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</si>
  <si>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</si>
  <si>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</si>
  <si>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</si>
  <si>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</si>
  <si>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</si>
  <si>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</si>
  <si>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</si>
  <si>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</si>
  <si>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</si>
  <si>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</si>
  <si>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</si>
  <si>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</si>
  <si>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</si>
  <si>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</si>
  <si>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</si>
  <si>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</si>
  <si>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</si>
  <si>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</si>
  <si>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</si>
  <si>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</si>
  <si>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</si>
  <si>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</si>
  <si>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</si>
  <si>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</si>
  <si>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</si>
  <si>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</si>
  <si>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</si>
  <si>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</si>
  <si>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</si>
  <si>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</si>
  <si>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</si>
  <si>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</si>
  <si>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</si>
  <si>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</si>
  <si>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</si>
  <si>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</si>
  <si>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</si>
  <si>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</si>
  <si>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</si>
  <si>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</si>
  <si>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</si>
  <si>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</si>
  <si>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</si>
  <si>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</si>
  <si>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</si>
  <si>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</si>
  <si>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</si>
  <si>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</si>
  <si>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</si>
  <si>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</si>
  <si>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</si>
  <si>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</si>
  <si>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</si>
  <si>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</si>
  <si>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</si>
  <si>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</si>
  <si>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</si>
  <si>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</si>
  <si>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</si>
  <si>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</si>
  <si>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</si>
  <si>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</si>
  <si>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</si>
  <si>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</si>
  <si>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</si>
  <si>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</si>
  <si>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</si>
  <si>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</si>
  <si>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</si>
  <si>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</si>
  <si>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</si>
  <si>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</si>
  <si>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</si>
  <si>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</si>
  <si>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</si>
  <si>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</si>
  <si>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</si>
  <si>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</si>
  <si>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</si>
  <si>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</si>
  <si>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</si>
  <si>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</si>
  <si>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</si>
  <si>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</si>
  <si>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</si>
  <si>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</si>
  <si>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</si>
  <si>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</si>
  <si>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</si>
  <si>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</si>
  <si>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</si>
  <si>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</si>
  <si>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</si>
  <si>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</si>
  <si>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</si>
  <si>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</si>
  <si>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</si>
  <si>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</si>
  <si>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</si>
  <si>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</si>
  <si>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</si>
  <si>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</si>
  <si>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</si>
  <si>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</si>
  <si>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</si>
  <si>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</si>
  <si>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</si>
  <si>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</si>
  <si>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</si>
  <si>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</si>
  <si>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 xml:space="preserve">Ms. Rimpa Kundu</t>
  </si>
  <si>
    <r>
      <rPr>
        <color theme="1"/>
        <rFont val="Times New Roman"/>
      </rPr>
      <t xml:space="preserve">Pattern Recognization</t>
    </r>
    <r>
      <rPr>
        <b/>
        <sz val="11"/>
        <color indexed="2"/>
        <rFont val="Times New Roman"/>
      </rPr>
      <t xml:space="preserve"> ( Unit 2 Lecture notes Pending)</t>
    </r>
  </si>
  <si>
    <t>2526ECD0319</t>
  </si>
  <si>
    <t>1QcsW-yrrKZLEFt-tva7I473uwS4OkBLR</t>
  </si>
  <si>
    <t>https://drive.google.com/file/d/1QcsW-yrrKZLEFt-tva7I473uwS4OkBLR/view?usp=drivesdk</t>
  </si>
  <si>
    <t xml:space="preserve">Document successfully created; Document successfully merged; PDF created; Manually run by nirmita.patel27183@paruluniversity.ac.in; Timestamp: Apr 24 2026 7:13 AM</t>
  </si>
  <si>
    <t xml:space="preserve">Dr. SHIV SHAKTI SHRIVASTAVA</t>
  </si>
  <si>
    <t xml:space="preserve">Deep Learning with NLP</t>
  </si>
  <si>
    <t>2526ECD0320</t>
  </si>
  <si>
    <t>1C_peDq2Xab0Wf_dm-9yMf1GjpGb-QRUb</t>
  </si>
  <si>
    <t>https://drive.google.com/file/d/1C_peDq2Xab0Wf_dm-9yMf1GjpGb-QRUb/view?usp=drivesdk</t>
  </si>
  <si>
    <t xml:space="preserve">Document successfully created; Document successfully merged; PDF created; Manually run by nirmita.patel27183@paruluniversity.ac.in; Timestamp: Apr 28 2026 8:08 AM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</si>
  <si>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</si>
  <si>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</si>
  <si>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</si>
  <si>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</si>
  <si>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</si>
  <si>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</si>
  <si>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</si>
  <si>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</si>
  <si>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</si>
  <si>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</si>
  <si>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</si>
  <si>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</si>
  <si>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</si>
  <si>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</si>
  <si>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>Pharmacy</t>
  </si>
  <si>
    <t xml:space="preserve">Mr. Vivek Joshi</t>
  </si>
  <si>
    <t xml:space="preserve">Human Anatomy and Physiology</t>
  </si>
  <si>
    <t>2526ECD0368</t>
  </si>
  <si>
    <t>1wxhG2NRo1DLeBOT9BjVGPm8BB5gtK4Gl</t>
  </si>
  <si>
    <t>https://drive.google.com/file/d/1wxhG2NRo1DLeBOT9BjVGPm8BB5gtK4Gl/view?usp=drivesdk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</si>
  <si>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</si>
  <si>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Sathish Mittapalli</t>
  </si>
  <si>
    <t xml:space="preserve">Pharmaceutical Organic Chemistry</t>
  </si>
  <si>
    <t>2526ECD0369</t>
  </si>
  <si>
    <t>1f9bnps0v2NnGovbBSu4ltPYCZEcDKmih</t>
  </si>
  <si>
    <t>https://drive.google.com/file/d/1f9bnps0v2NnGovbBSu4ltPYCZEcDKmih/view?usp=drivesdk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</si>
  <si>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</si>
  <si>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</si>
  <si>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</si>
  <si>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</si>
  <si>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</si>
  <si>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</si>
  <si>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</si>
  <si>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</si>
  <si>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</si>
  <si>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</si>
  <si>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Ms Sunita Kulariya</t>
  </si>
  <si>
    <t>Pharmacology-I</t>
  </si>
  <si>
    <t>2526ECD0372</t>
  </si>
  <si>
    <t>1RboTqtDHTxL25fIq0dBkeZ53lXKAzg6H</t>
  </si>
  <si>
    <t>https://drive.google.com/file/d/1RboTqtDHTxL25fIq0dBkeZ53lXKAzg6H/view?usp=drivesdk</t>
  </si>
  <si>
    <t xml:space="preserve">Dr. Yogendra Shrestha</t>
  </si>
  <si>
    <t xml:space="preserve">Community Pharmacy</t>
  </si>
  <si>
    <t>2526ECD0373</t>
  </si>
  <si>
    <t>1hd6uGSDtyMV6mYAgH-KTCvUUjnQcJ9ri</t>
  </si>
  <si>
    <t>https://drive.google.com/file/d/1hd6uGSDtyMV6mYAgH-KTCvUUjnQcJ9ri/view?usp=drivesdk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</si>
  <si>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</si>
  <si>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Tarun Tank</t>
  </si>
  <si>
    <t>Pharmacotherapeutics-I</t>
  </si>
  <si>
    <t>2526ECD0374</t>
  </si>
  <si>
    <t>1r6Xuo3r-HhKnnP5A4FJoXTmV03EFYrfv</t>
  </si>
  <si>
    <t>https://drive.google.com/file/d/1r6Xuo3r-HhKnnP5A4FJoXTmV03EFYrfv/view?usp=drivesdk</t>
  </si>
  <si>
    <t xml:space="preserve">Ms Minal Salunkhe</t>
  </si>
  <si>
    <t xml:space="preserve">Pharmaceutical Analysis</t>
  </si>
  <si>
    <t>2526ECD0375</t>
  </si>
  <si>
    <t>1qQKuiv8OGqLYCgg85CfkrEBdwESS-a3q</t>
  </si>
  <si>
    <t>https://drive.google.com/file/d/1qQKuiv8OGqLYCgg85CfkrEBdwESS-a3q/view?usp=drivesdk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</si>
  <si>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</si>
  <si>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</si>
  <si>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</si>
  <si>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</si>
  <si>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</si>
  <si>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Ms. Nidhi Raichura</t>
  </si>
  <si>
    <t xml:space="preserve">Medicinal Chemistry</t>
  </si>
  <si>
    <t>2526ECD0377</t>
  </si>
  <si>
    <t>1IMLW_rIbfSacBDPA_rfrJMi0y11hQIef</t>
  </si>
  <si>
    <t>https://drive.google.com/file/d/1IMLW_rIbfSacBDPA_rfrJMi0y11hQIef/view?usp=drivesdk</t>
  </si>
  <si>
    <t xml:space="preserve">Dr. Kajal Patel</t>
  </si>
  <si>
    <t xml:space="preserve">Hospital Pharmacy</t>
  </si>
  <si>
    <t>2526ECD0378</t>
  </si>
  <si>
    <t>1SGVv5H3em0JOXPW2CrEcYycaOeAmJfzB</t>
  </si>
  <si>
    <t>https://drive.google.com/file/d/1SGVv5H3em0JOXPW2CrEcYycaOeAmJfzB/view?usp=drivesdk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</si>
  <si>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</si>
  <si>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</si>
  <si>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</si>
  <si>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</si>
  <si>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</si>
  <si>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</si>
  <si>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</si>
  <si>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</si>
  <si>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</si>
  <si>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</si>
  <si>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</si>
  <si>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</si>
  <si>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</si>
  <si>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</si>
  <si>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</si>
  <si>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</si>
  <si>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 xml:space="preserve">Ms. Devshree Parmar</t>
  </si>
  <si>
    <t>Pharmacology–Theory</t>
  </si>
  <si>
    <t>2526ECD0382</t>
  </si>
  <si>
    <t>10PRVg2zNLsjuga83pzbkAgC2Znu1tvxS</t>
  </si>
  <si>
    <t>https://drive.google.com/file/d/10PRVg2zNLsjuga83pzbkAgC2Znu1tvxS/view?usp=drivesdk</t>
  </si>
  <si>
    <t xml:space="preserve">Dr. Vrundaben Shah</t>
  </si>
  <si>
    <t xml:space="preserve">Community Pharmacy &amp; Management – Theory</t>
  </si>
  <si>
    <t>2526ECD0383</t>
  </si>
  <si>
    <t>18x5dP7kdnWbDENuDSn-Wiy_HeYwvamfA</t>
  </si>
  <si>
    <t>https://drive.google.com/file/d/18x5dP7kdnWbDENuDSn-Wiy_HeYwvamfA/view?usp=drivesdk</t>
  </si>
  <si>
    <t xml:space="preserve">Ms. Rasana Yadav</t>
  </si>
  <si>
    <t xml:space="preserve">Pharmacotherapeutics – Theory</t>
  </si>
  <si>
    <t>2526ECD0384</t>
  </si>
  <si>
    <t>14rn_5E34RXR3GOonyqnX8rjoadgkpUN9</t>
  </si>
  <si>
    <t>https://drive.google.com/file/d/14rn_5E34RXR3GOonyqnX8rjoadgkpUN9/view?usp=drivesdk</t>
  </si>
  <si>
    <t xml:space="preserve">Ms. Srushti Shah</t>
  </si>
  <si>
    <t xml:space="preserve">Hospital &amp; Clinical Pharmacy – Theory</t>
  </si>
  <si>
    <t>2526ECD0385</t>
  </si>
  <si>
    <t>13zp7lVDqChlg--W8QHtqwTuLPjl0nHol</t>
  </si>
  <si>
    <t>https://drive.google.com/file/d/13zp7lVDqChlg--W8QHtqwTuLPjl0nHol/view?usp=drivesdk</t>
  </si>
  <si>
    <t xml:space="preserve">Document successfully created; Document successfully merged; PDF created; Manually run by nirmita.patel27183@paruluniversity.ac.in; Timestamp: Apr 27 2026 12:31 AM</t>
  </si>
  <si>
    <t>COA</t>
  </si>
  <si>
    <t xml:space="preserve">Mr. Bhavik</t>
  </si>
  <si>
    <t xml:space="preserve">Communication Skills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</si>
  <si>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</si>
  <si>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</si>
  <si>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</si>
  <si>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</si>
  <si>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</si>
  <si>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</si>
  <si>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</si>
  <si>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</si>
  <si>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</si>
  <si>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</si>
  <si>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</si>
  <si>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</si>
  <si>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</si>
  <si>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</si>
  <si>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</si>
  <si>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</si>
  <si>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</si>
  <si>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</si>
  <si>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</si>
  <si>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</si>
  <si>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</si>
  <si>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</si>
  <si>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</si>
  <si>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</si>
  <si>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</si>
  <si>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</si>
  <si>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</si>
  <si>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</si>
  <si>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</si>
  <si>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</si>
  <si>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</si>
  <si>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</si>
  <si>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</si>
  <si>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</si>
  <si>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</si>
  <si>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</si>
  <si>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</si>
  <si>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</si>
  <si>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</si>
  <si>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</si>
  <si>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</si>
  <si>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</si>
  <si>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</si>
  <si>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</si>
  <si>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</si>
  <si>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</si>
  <si>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</si>
  <si>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</si>
  <si>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</si>
  <si>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</si>
  <si>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</si>
  <si>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</si>
  <si>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</si>
  <si>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>PIAS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</si>
  <si>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</si>
  <si>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</si>
  <si>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</si>
  <si>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</si>
  <si>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</si>
  <si>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</si>
  <si>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</si>
  <si>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</si>
  <si>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</si>
  <si>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</si>
  <si>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</si>
  <si>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</si>
  <si>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</si>
  <si>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</si>
  <si>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</si>
  <si>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</si>
  <si>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</si>
  <si>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</si>
  <si>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</si>
  <si>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</si>
  <si>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</si>
  <si>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</si>
  <si>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</si>
  <si>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</si>
  <si>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</si>
  <si>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</si>
  <si>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</si>
  <si>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</si>
  <si>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</si>
  <si>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</si>
  <si>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</si>
  <si>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</si>
  <si>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</si>
  <si>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</si>
  <si>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</si>
  <si>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</si>
  <si>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</si>
  <si>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</si>
  <si>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</si>
  <si>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</si>
  <si>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</si>
  <si>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</si>
  <si>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</si>
  <si>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</si>
  <si>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</si>
  <si>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</si>
  <si>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Basic of Statistics </t>
  </si>
  <si>
    <t>2526ECD0022</t>
  </si>
  <si>
    <t>1nM7m0r4_3LIkNwu-8klnGEafQAQDQx3N</t>
  </si>
  <si>
    <t>https://drive.google.com/file/d/1nM7m0r4_3LIkNwu-8klnGEafQAQDQx3N/view?usp=drivesdk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</si>
  <si>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</si>
  <si>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</si>
  <si>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</si>
  <si>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</si>
  <si>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</si>
  <si>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</si>
  <si>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</si>
  <si>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</si>
  <si>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</si>
  <si>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</si>
  <si>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</si>
  <si>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</si>
  <si>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</si>
  <si>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</si>
  <si>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</si>
  <si>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</si>
  <si>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</si>
  <si>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</si>
  <si>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</si>
  <si>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</si>
  <si>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</si>
  <si>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</si>
  <si>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</si>
  <si>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</si>
  <si>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</si>
  <si>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</si>
  <si>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</si>
  <si>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</si>
  <si>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</si>
  <si>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</si>
  <si>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</si>
  <si>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</si>
  <si>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</si>
  <si>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</si>
  <si>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</si>
  <si>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</si>
  <si>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</si>
  <si>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</si>
  <si>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</si>
  <si>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</si>
  <si>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</si>
  <si>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</si>
  <si>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</si>
  <si>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</si>
  <si>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</si>
  <si>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</si>
  <si>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</si>
  <si>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</si>
  <si>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</si>
  <si>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</si>
  <si>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</si>
  <si>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</si>
  <si>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</si>
  <si>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</si>
  <si>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</si>
  <si>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</si>
  <si>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</si>
  <si>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</si>
  <si>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</si>
  <si>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</si>
  <si>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</si>
  <si>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</si>
  <si>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</si>
  <si>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</si>
  <si>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</si>
  <si>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</si>
  <si>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</si>
  <si>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</si>
  <si>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</si>
  <si>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</si>
  <si>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</si>
  <si>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</si>
  <si>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</si>
  <si>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</si>
  <si>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</si>
  <si>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</si>
  <si>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</si>
  <si>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</si>
  <si>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</si>
  <si>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</si>
  <si>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</si>
  <si>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</si>
  <si>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</si>
  <si>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</si>
  <si>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</si>
  <si>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</si>
  <si>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</si>
  <si>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</si>
  <si>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</si>
  <si>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</si>
  <si>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</si>
  <si>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</si>
  <si>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</si>
  <si>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</si>
  <si>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</si>
  <si>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</si>
  <si>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</si>
  <si>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</si>
  <si>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</si>
  <si>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</si>
  <si>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</si>
  <si>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</si>
  <si>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</si>
  <si>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</si>
  <si>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</si>
  <si>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</si>
  <si>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</si>
  <si>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</si>
  <si>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</si>
  <si>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</si>
  <si>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</si>
  <si>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</si>
  <si>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</si>
  <si>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Prof. Gireesh Babu K</t>
  </si>
  <si>
    <t xml:space="preserve">Bioinstrumentation </t>
  </si>
  <si>
    <t>2526ECD0046</t>
  </si>
  <si>
    <t>1oeGeKSgS3Rj3ezxMi9DC9ZfxYgOGr0dj</t>
  </si>
  <si>
    <t>https://drive.google.com/file/d/1oeGeKSgS3Rj3ezxMi9DC9ZfxYgOGr0dj/view?usp=drivesdk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</si>
  <si>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</si>
  <si>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</si>
  <si>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</si>
  <si>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</si>
  <si>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</si>
  <si>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</si>
  <si>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</si>
  <si>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</si>
  <si>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</si>
  <si>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</si>
  <si>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</si>
  <si>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</si>
  <si>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</si>
  <si>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</si>
  <si>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</si>
  <si>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</si>
  <si>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Radhey Shyam Kaushal</t>
  </si>
  <si>
    <t>2526ECD0050</t>
  </si>
  <si>
    <t>1Wf9Ckjp2sLamyPuRwx0TO9USX31W_XUH</t>
  </si>
  <si>
    <t>https://drive.google.com/file/d/1Wf9Ckjp2sLamyPuRwx0TO9USX31W_XUH/view?usp=drivesdk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</si>
  <si>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</si>
  <si>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</si>
  <si>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</si>
  <si>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</si>
  <si>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</si>
  <si>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</si>
  <si>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</si>
  <si>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</si>
  <si>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</si>
  <si>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</si>
  <si>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</si>
  <si>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</si>
  <si>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</si>
  <si>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</si>
  <si>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</si>
  <si>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</si>
  <si>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 Hemanta Kumar Mondal</t>
  </si>
  <si>
    <t xml:space="preserve">Bioprocess and fermentation technology </t>
  </si>
  <si>
    <t>2526ECD0054</t>
  </si>
  <si>
    <t>1S74MJv1SfsPzi_n7XhPR4Qiv8ESCo19e</t>
  </si>
  <si>
    <t>https://drive.google.com/file/d/1S74MJv1SfsPzi_n7XhPR4Qiv8ESCo19e/view?usp=drivesdk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</si>
  <si>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</si>
  <si>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</si>
  <si>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</si>
  <si>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</si>
  <si>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</si>
  <si>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</si>
  <si>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</si>
  <si>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</si>
  <si>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</si>
  <si>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</si>
  <si>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</si>
  <si>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</si>
  <si>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</si>
  <si>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</si>
  <si>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</si>
  <si>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</si>
  <si>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</si>
  <si>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</si>
  <si>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</si>
  <si>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</si>
  <si>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</si>
  <si>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</si>
  <si>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</si>
  <si>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</si>
  <si>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</si>
  <si>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</si>
  <si>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</si>
  <si>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</si>
  <si>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</si>
  <si>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</si>
  <si>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</si>
  <si>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</si>
  <si>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</si>
  <si>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</si>
  <si>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</si>
  <si>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</si>
  <si>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</si>
  <si>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</si>
  <si>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</si>
  <si>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</si>
  <si>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</si>
  <si>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</si>
  <si>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</si>
  <si>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</si>
  <si>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</si>
  <si>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</si>
  <si>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</si>
  <si>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</si>
  <si>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</si>
  <si>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</si>
  <si>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</si>
  <si>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</si>
  <si>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</si>
  <si>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</si>
  <si>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</si>
  <si>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</si>
  <si>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</si>
  <si>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</si>
  <si>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</si>
  <si>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</si>
  <si>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</si>
  <si>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</si>
  <si>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</si>
  <si>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</si>
  <si>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</si>
  <si>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</si>
  <si>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</si>
  <si>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</si>
  <si>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</si>
  <si>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</si>
  <si>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</si>
  <si>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</si>
  <si>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</si>
  <si>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</si>
  <si>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</si>
  <si>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</si>
  <si>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</si>
  <si>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</si>
  <si>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</si>
  <si>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</si>
  <si>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</si>
  <si>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</si>
  <si>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</si>
  <si>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</si>
  <si>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</si>
  <si>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</si>
  <si>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</si>
  <si>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</si>
  <si>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</si>
  <si>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</si>
  <si>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</si>
  <si>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</si>
  <si>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</si>
  <si>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</si>
  <si>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</si>
  <si>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</si>
  <si>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</si>
  <si>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</si>
  <si>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</si>
  <si>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</si>
  <si>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</si>
  <si>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</si>
  <si>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</si>
  <si>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 Shivang Desai</t>
  </si>
  <si>
    <t xml:space="preserve">Basics of Organic Chemistry (FS_minor) </t>
  </si>
  <si>
    <t>2526ECD0075</t>
  </si>
  <si>
    <t>18p6iE6Owx7q7is_NV19bnnis8adCZn6y</t>
  </si>
  <si>
    <t>https://drive.google.com/file/d/18p6iE6Owx7q7is_NV19bnnis8adCZn6y/view?usp=drivesdk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</si>
  <si>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</si>
  <si>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</si>
  <si>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</si>
  <si>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</si>
  <si>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</si>
  <si>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</si>
  <si>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</si>
  <si>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</si>
  <si>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</si>
  <si>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</si>
  <si>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</si>
  <si>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</si>
  <si>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</si>
  <si>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</si>
  <si>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</si>
  <si>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</si>
  <si>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</si>
  <si>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</si>
  <si>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</si>
  <si>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</si>
  <si>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</si>
  <si>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</si>
  <si>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</si>
  <si>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</si>
  <si>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</si>
  <si>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</si>
  <si>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</si>
  <si>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</si>
  <si>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</si>
  <si>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</si>
  <si>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</si>
  <si>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</si>
  <si>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</si>
  <si>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</si>
  <si>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</si>
  <si>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</si>
  <si>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</si>
  <si>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</si>
  <si>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</si>
  <si>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</si>
  <si>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</si>
  <si>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</si>
  <si>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</si>
  <si>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</si>
  <si>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</si>
  <si>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</si>
  <si>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</si>
  <si>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</si>
  <si>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</si>
  <si>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</si>
  <si>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</si>
  <si>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</si>
  <si>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</si>
  <si>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</si>
  <si>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</si>
  <si>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</si>
  <si>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</si>
  <si>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</si>
  <si>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</si>
  <si>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</si>
  <si>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</si>
  <si>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</si>
  <si>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</si>
  <si>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</si>
  <si>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</si>
  <si>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</si>
  <si>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Rajni Gupta</t>
  </si>
  <si>
    <t xml:space="preserve">History of Modern India-I (1750-1857) </t>
  </si>
  <si>
    <t>2526ECD0089</t>
  </si>
  <si>
    <t>1_G1-eU8I60Kxx_1mTdrxTiQCSLKBH9xh</t>
  </si>
  <si>
    <t>https://drive.google.com/file/d/1_G1-eU8I60Kxx_1mTdrxTiQCSLKBH9xh/view?usp=drivesdk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</si>
  <si>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</si>
  <si>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</si>
  <si>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</si>
  <si>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</si>
  <si>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</si>
  <si>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</si>
  <si>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</si>
  <si>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</si>
  <si>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</si>
  <si>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</si>
  <si>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</si>
  <si>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</si>
  <si>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</si>
  <si>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</si>
  <si>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</si>
  <si>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</si>
  <si>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</si>
  <si>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</si>
  <si>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</si>
  <si>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</si>
  <si>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</si>
  <si>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</si>
  <si>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</si>
  <si>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</si>
  <si>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</si>
  <si>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</si>
  <si>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</si>
  <si>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Vijendranath Pathak</t>
  </si>
  <si>
    <t xml:space="preserve">Psychological Testing </t>
  </si>
  <si>
    <t>2526ECD0095</t>
  </si>
  <si>
    <t>1iAwXLzOSMj1halAYTS2fqa1ZlTCDBxPB</t>
  </si>
  <si>
    <t>https://drive.google.com/file/d/1iAwXLzOSMj1halAYTS2fqa1ZlTCDBxPB/view?usp=drivesdk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</si>
  <si>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</si>
  <si>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</si>
  <si>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</si>
  <si>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</si>
  <si>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</si>
  <si>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</si>
  <si>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</si>
  <si>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</si>
  <si>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</si>
  <si>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</si>
  <si>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</si>
  <si>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</si>
  <si>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</si>
  <si>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</si>
  <si>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</si>
  <si>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</si>
  <si>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Gagan Vashishth</t>
  </si>
  <si>
    <t xml:space="preserve">Indian Economy  </t>
  </si>
  <si>
    <t>2526ECD0099</t>
  </si>
  <si>
    <t>1pvouh93iZSftaFDuGwKsoW_ObiiQ8pPW</t>
  </si>
  <si>
    <t>https://drive.google.com/file/d/1pvouh93iZSftaFDuGwKsoW_ObiiQ8pPW/view?usp=drivesdk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</si>
  <si>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</si>
  <si>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</si>
  <si>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</si>
  <si>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</si>
  <si>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</si>
  <si>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</si>
  <si>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</si>
  <si>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</si>
  <si>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</si>
  <si>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</si>
  <si>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</si>
  <si>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</si>
  <si>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</si>
  <si>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</si>
  <si>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</si>
  <si>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</si>
  <si>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Dr. Shobhana Singh</t>
  </si>
  <si>
    <t xml:space="preserve">Course Design For English Language Teaching</t>
  </si>
  <si>
    <t>2526ECD0103</t>
  </si>
  <si>
    <t>1u_1OwtHQZUWlx4ZT0Hg3h0pnnVxaXdAQ</t>
  </si>
  <si>
    <t>https://drive.google.com/file/d/1u_1OwtHQZUWlx4ZT0Hg3h0pnnVxaXdAQ/view?usp=drivesdk</t>
  </si>
  <si>
    <t xml:space="preserve">Ms. Shefali Upadhyay</t>
  </si>
  <si>
    <r>
      <rPr>
        <color rgb="FF434343"/>
        <rFont val="Arial"/>
      </rPr>
      <t xml:space="preserve">Psychological Disorders and Diagnostics-I</t>
    </r>
    <r>
      <rPr>
        <b/>
        <color indexed="2"/>
        <rFont val="Arial"/>
      </rPr>
      <t xml:space="preserve"> </t>
    </r>
  </si>
  <si>
    <t>2526ECD0104</t>
  </si>
  <si>
    <t>1daFveZl_zmym-9wKjUcKqC9Erqljia6D</t>
  </si>
  <si>
    <t>https://drive.google.com/file/d/1daFveZl_zmym-9wKjUcKqC9Erqljia6D/view?usp=drivesdk</t>
  </si>
  <si>
    <t xml:space="preserve">Ms. Sanskruti Pathak, Dr. Vijendranath Pathak</t>
  </si>
  <si>
    <t xml:space="preserve">School and Educational PSychology</t>
  </si>
  <si>
    <t>2526ECD0105</t>
  </si>
  <si>
    <t>1Rg-yBpQvMfr_JeI2ID4ccCwPfU4iCbUs</t>
  </si>
  <si>
    <t>https://drive.google.com/file/d/1Rg-yBpQvMfr_JeI2ID4ccCwPfU4iCbUs/view?usp=drivesdk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</si>
  <si>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</si>
  <si>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</si>
  <si>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</si>
  <si>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</si>
  <si>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</si>
  <si>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</si>
  <si>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</si>
  <si>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</si>
  <si>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</si>
  <si>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</si>
  <si>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</si>
  <si>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</si>
  <si>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</si>
  <si>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</si>
  <si>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</si>
  <si>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</si>
  <si>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</si>
  <si>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</si>
  <si>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</si>
  <si>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</si>
  <si>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</si>
  <si>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</si>
  <si>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</si>
  <si>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</si>
  <si>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</si>
  <si>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</si>
  <si>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</si>
  <si>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</si>
  <si>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</si>
  <si>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</si>
  <si>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</si>
  <si>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</si>
  <si>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</si>
  <si>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</si>
  <si>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</si>
  <si>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</si>
  <si>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</si>
  <si>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</si>
  <si>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</si>
  <si>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</si>
  <si>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</si>
  <si>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</si>
  <si>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</si>
  <si>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</si>
  <si>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</si>
  <si>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</si>
  <si>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</si>
  <si>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</si>
  <si>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</si>
  <si>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</si>
  <si>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</si>
  <si>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</si>
  <si>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</si>
  <si>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</si>
  <si>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</si>
  <si>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</si>
  <si>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</si>
  <si>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</si>
  <si>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</si>
  <si>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</si>
  <si>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</si>
  <si>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</si>
  <si>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</si>
  <si>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</si>
  <si>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</si>
  <si>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</si>
  <si>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</si>
  <si>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</si>
  <si>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</si>
  <si>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</si>
  <si>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</si>
  <si>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</si>
  <si>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</si>
  <si>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</si>
  <si>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</si>
  <si>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</si>
  <si>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</si>
  <si>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</si>
  <si>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</si>
  <si>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</si>
  <si>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</si>
  <si>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</si>
  <si>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</si>
  <si>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</si>
  <si>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</si>
  <si>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</si>
  <si>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</si>
  <si>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</si>
  <si>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</si>
  <si>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</si>
  <si>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</si>
  <si>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</si>
  <si>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</si>
  <si>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</si>
  <si>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</si>
  <si>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</si>
  <si>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</si>
  <si>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</si>
  <si>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</si>
  <si>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</si>
  <si>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</si>
  <si>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</si>
  <si>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</si>
  <si>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</si>
  <si>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</si>
  <si>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</si>
  <si>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</si>
  <si>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</si>
  <si>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</si>
  <si>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</si>
  <si>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</si>
  <si>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</si>
  <si>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</si>
  <si>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</si>
  <si>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</si>
  <si>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</si>
  <si>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</si>
  <si>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</si>
  <si>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</si>
  <si>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</si>
  <si>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</si>
  <si>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</si>
  <si>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</si>
  <si>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</si>
  <si>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</si>
  <si>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</si>
  <si>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</si>
  <si>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</si>
  <si>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</si>
  <si>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</si>
  <si>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</si>
  <si>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</si>
  <si>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</si>
  <si>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</si>
  <si>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</si>
  <si>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</si>
  <si>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</si>
  <si>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</si>
  <si>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</si>
  <si>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</si>
  <si>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</si>
  <si>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</si>
  <si>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</si>
  <si>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</si>
  <si>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</si>
  <si>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</si>
  <si>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</si>
  <si>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</si>
  <si>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</si>
  <si>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</si>
  <si>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</si>
  <si>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</si>
  <si>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</si>
  <si>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</si>
  <si>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</si>
  <si>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</si>
  <si>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</si>
  <si>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</si>
  <si>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</si>
  <si>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</si>
  <si>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</si>
  <si>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</si>
  <si>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</si>
  <si>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</si>
  <si>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</si>
  <si>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</si>
  <si>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</si>
  <si>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</si>
  <si>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</si>
  <si>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2526ECD0421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</si>
  <si>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</si>
  <si>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</si>
  <si>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</si>
  <si>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</si>
  <si>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</si>
  <si>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</si>
  <si>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</si>
  <si>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</si>
  <si>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</si>
  <si>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</si>
  <si>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</si>
  <si>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</si>
  <si>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</si>
  <si>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</si>
  <si>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School and Educational Psychology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</si>
  <si>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</si>
  <si>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</si>
  <si>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</si>
  <si>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>BCA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</si>
  <si>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</si>
  <si>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</si>
  <si>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</si>
  <si>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</si>
  <si>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</si>
  <si>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</si>
  <si>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</si>
  <si>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</si>
  <si>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</si>
  <si>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</si>
  <si>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</si>
  <si>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</si>
  <si>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</si>
  <si>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</si>
  <si>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</si>
  <si>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</si>
  <si>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</si>
  <si>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</si>
  <si>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</si>
  <si>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</si>
  <si>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</si>
  <si>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</si>
  <si>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</si>
  <si>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</si>
  <si>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</si>
  <si>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</si>
  <si>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</si>
  <si>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</si>
  <si>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</si>
  <si>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</si>
  <si>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</si>
  <si>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</si>
  <si>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</si>
  <si>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</si>
  <si>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</si>
  <si>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</si>
  <si>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</si>
  <si>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</si>
  <si>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</si>
  <si>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</si>
  <si>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</si>
  <si>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</si>
  <si>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</si>
  <si>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</si>
  <si>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</si>
  <si>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</si>
  <si>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</si>
  <si>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</si>
  <si>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</si>
  <si>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</si>
  <si>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</si>
  <si>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</si>
  <si>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</si>
  <si>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</si>
  <si>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</si>
  <si>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</si>
  <si>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</si>
  <si>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</si>
  <si>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</si>
  <si>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</si>
  <si>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</si>
  <si>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</si>
  <si>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</si>
  <si>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</si>
  <si>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</si>
  <si>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</si>
  <si>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</si>
  <si>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</si>
  <si>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</si>
  <si>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</si>
  <si>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</si>
  <si>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</si>
  <si>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</si>
  <si>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</si>
  <si>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</si>
  <si>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</si>
  <si>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</si>
  <si>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</si>
  <si>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</si>
  <si>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</si>
  <si>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</si>
  <si>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</si>
  <si>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</si>
  <si>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</si>
  <si>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</si>
  <si>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</si>
  <si>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</si>
  <si>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</si>
  <si>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</si>
  <si>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</si>
  <si>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</si>
  <si>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</si>
  <si>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</si>
  <si>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</si>
  <si>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</si>
  <si>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</si>
  <si>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</si>
  <si>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</si>
  <si>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</si>
  <si>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</si>
  <si>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</si>
  <si>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</si>
  <si>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</si>
  <si>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</si>
  <si>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</si>
  <si>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</si>
  <si>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</si>
  <si>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</si>
  <si>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</si>
  <si>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</si>
  <si>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</si>
  <si>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</si>
  <si>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</si>
  <si>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</si>
  <si>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</si>
  <si>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</si>
  <si>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</si>
  <si>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</si>
  <si>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</si>
  <si>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</si>
  <si>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</si>
  <si>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</si>
  <si>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</si>
  <si>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</si>
  <si>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</si>
  <si>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</si>
  <si>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</si>
  <si>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</si>
  <si>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</si>
  <si>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</si>
  <si>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</si>
  <si>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</si>
  <si>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</si>
  <si>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</si>
  <si>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</si>
  <si>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</si>
  <si>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</si>
  <si>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</si>
  <si>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</si>
  <si>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</si>
  <si>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</si>
  <si>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</si>
  <si>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</si>
  <si>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</si>
  <si>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</si>
  <si>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</si>
  <si>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</si>
  <si>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</si>
  <si>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</si>
  <si>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</si>
  <si>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</si>
  <si>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</si>
  <si>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</si>
  <si>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</si>
  <si>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</si>
  <si>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</si>
  <si>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</si>
  <si>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</si>
  <si>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</si>
  <si>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</si>
  <si>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</si>
  <si>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</si>
  <si>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</si>
  <si>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</si>
  <si>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</si>
  <si>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</si>
  <si>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</si>
  <si>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</si>
  <si>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</si>
  <si>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</si>
  <si>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</si>
  <si>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</si>
  <si>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</si>
  <si>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</si>
  <si>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</si>
  <si>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</si>
  <si>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</si>
  <si>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</si>
  <si>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</si>
  <si>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</si>
  <si>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</si>
  <si>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</si>
  <si>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</si>
  <si>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</si>
  <si>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</si>
  <si>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</si>
  <si>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</si>
  <si>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</si>
  <si>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</si>
  <si>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</si>
  <si>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</si>
  <si>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</si>
  <si>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</si>
  <si>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</si>
  <si>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</si>
  <si>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</si>
  <si>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</si>
  <si>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</si>
  <si>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</si>
  <si>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</si>
  <si>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</si>
  <si>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</si>
  <si>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</si>
  <si>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</si>
  <si>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</si>
  <si>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</si>
  <si>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</si>
  <si>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</si>
  <si>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</si>
  <si>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</si>
  <si>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</si>
  <si>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</si>
  <si>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</si>
  <si>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</si>
  <si>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</si>
  <si>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</si>
  <si>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</si>
  <si>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</si>
  <si>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</si>
  <si>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</si>
  <si>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</si>
  <si>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</si>
  <si>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</si>
  <si>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</si>
  <si>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</si>
  <si>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</si>
  <si>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</si>
  <si>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</si>
  <si>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</si>
  <si>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</si>
  <si>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</si>
  <si>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</si>
  <si>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</si>
  <si>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</si>
  <si>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</si>
  <si>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</si>
  <si>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</si>
  <si>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</si>
  <si>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</si>
  <si>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</si>
  <si>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</si>
  <si>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</si>
  <si>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</si>
  <si>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>PPI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</si>
  <si>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</si>
  <si>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</si>
  <si>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</si>
  <si>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</si>
  <si>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</si>
  <si>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</si>
  <si>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</si>
  <si>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</si>
  <si>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</si>
  <si>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</si>
  <si>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</si>
  <si>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</si>
  <si>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</si>
  <si>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</si>
  <si>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</si>
  <si>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</si>
  <si>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</si>
  <si>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</si>
  <si>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</si>
  <si>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</si>
  <si>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</si>
  <si>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</si>
  <si>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</si>
  <si>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</si>
  <si>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</si>
  <si>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</si>
  <si>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</si>
  <si>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</si>
  <si>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</si>
  <si>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</si>
  <si>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</si>
  <si>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</si>
  <si>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</si>
  <si>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</si>
  <si>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</si>
  <si>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</si>
  <si>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</si>
  <si>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</si>
  <si>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</si>
  <si>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</si>
  <si>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</si>
  <si>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</si>
  <si>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</si>
  <si>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</si>
  <si>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</si>
  <si>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</si>
  <si>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</si>
  <si>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</si>
  <si>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</si>
  <si>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</si>
  <si>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</si>
  <si>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</si>
  <si>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</si>
  <si>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</si>
  <si>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</si>
  <si>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</si>
  <si>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</si>
  <si>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</si>
  <si>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</si>
  <si>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</si>
  <si>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</si>
  <si>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</si>
  <si>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</si>
  <si>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</si>
  <si>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</si>
  <si>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</si>
  <si>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</si>
  <si>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</si>
  <si>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</si>
  <si>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</si>
  <si>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</si>
  <si>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</si>
  <si>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</si>
  <si>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</si>
  <si>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</si>
  <si>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</si>
  <si>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</si>
  <si>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</si>
  <si>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</si>
  <si>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</si>
  <si>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</si>
  <si>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</si>
  <si>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</si>
  <si>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</si>
  <si>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</si>
  <si>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</si>
  <si>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</si>
  <si>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</si>
  <si>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</si>
  <si>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</si>
  <si>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</si>
  <si>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</si>
  <si>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</si>
  <si>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</si>
  <si>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</si>
  <si>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</si>
  <si>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</si>
  <si>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</si>
  <si>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</si>
  <si>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</si>
  <si>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</si>
  <si>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</si>
  <si>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</si>
  <si>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</si>
  <si>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</si>
  <si>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</si>
  <si>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</si>
  <si>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</si>
  <si>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</si>
  <si>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</si>
  <si>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</si>
  <si>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</si>
  <si>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</si>
  <si>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</si>
  <si>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</si>
  <si>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</si>
  <si>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</si>
  <si>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</si>
  <si>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</si>
  <si>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</si>
  <si>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</si>
  <si>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</si>
  <si>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</si>
  <si>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>PHARMACY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</si>
  <si>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</si>
  <si>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</si>
  <si>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</si>
  <si>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</si>
  <si>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</si>
  <si>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</si>
  <si>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</si>
  <si>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</si>
  <si>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</si>
  <si>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</si>
  <si>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</si>
  <si>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</si>
  <si>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</si>
  <si>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</si>
  <si>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</si>
  <si>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</si>
  <si>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</si>
  <si>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</si>
  <si>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</si>
  <si>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</si>
  <si>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</si>
  <si>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</si>
  <si>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</si>
  <si>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</si>
  <si>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</si>
  <si>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</si>
  <si>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</si>
  <si>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</si>
  <si>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</si>
  <si>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</si>
  <si>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</si>
  <si>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</si>
  <si>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</si>
  <si>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</si>
  <si>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</si>
  <si>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</si>
  <si>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</si>
  <si>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</si>
  <si>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</si>
  <si>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</si>
  <si>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</si>
  <si>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</si>
  <si>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</si>
  <si>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</si>
  <si>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</si>
  <si>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</si>
  <si>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</si>
  <si>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</si>
  <si>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</si>
  <si>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</si>
  <si>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</si>
  <si>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</si>
  <si>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</si>
  <si>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</si>
  <si>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</si>
  <si>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</si>
  <si>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</si>
  <si>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</si>
  <si>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</si>
  <si>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</si>
  <si>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</si>
  <si>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</si>
  <si>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</si>
  <si>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</si>
  <si>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</si>
  <si>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</si>
  <si>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</si>
  <si>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</si>
  <si>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</si>
  <si>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</si>
  <si>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</si>
  <si>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</si>
  <si>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</si>
  <si>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</si>
  <si>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</si>
  <si>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</si>
  <si>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</si>
  <si>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</si>
  <si>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</si>
  <si>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</si>
  <si>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</si>
  <si>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</si>
  <si>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</si>
  <si>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</si>
  <si>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</si>
  <si>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</si>
  <si>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</si>
  <si>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</si>
  <si>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</si>
  <si>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</si>
  <si>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</si>
  <si>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</si>
  <si>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</si>
  <si>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</si>
  <si>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</si>
  <si>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</si>
  <si>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</si>
  <si>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</si>
  <si>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</si>
  <si>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</si>
  <si>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</si>
  <si>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</si>
  <si>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</si>
  <si>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</si>
  <si>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</si>
  <si>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</si>
  <si>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</si>
  <si>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</si>
  <si>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</si>
  <si>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Nirmita Ritesh Patel</t>
  </si>
  <si>
    <t xml:space="preserve">Kajal Rathore</t>
  </si>
  <si>
    <t xml:space="preserve">Kinnari Mishra</t>
  </si>
  <si>
    <t xml:space="preserve">Advanced Financial Management</t>
  </si>
  <si>
    <t>2526EC0001</t>
  </si>
  <si>
    <t>1LC2-5cLd-etqmKpmMeqlrrSEhmTZ9g4a</t>
  </si>
  <si>
    <t>https://drive.google.com/file/d/1LC2-5cLd-etqmKpmMeqlrrSEhmTZ9g4a/view?usp=drivesdk</t>
  </si>
  <si>
    <t xml:space="preserve">Document successfully created; Document successfully merged; PDF created; Manually run by nirmita.patel27183@paruluniversity.ac.in; Timestamp: Apr 23 2026 6:46 AM</t>
  </si>
  <si>
    <t>1c5po6fzRGhj-olnQkv5f6NWYqyln1CPm</t>
  </si>
  <si>
    <t>https://drive.google.com/file/d/1c5po6fzRGhj-olnQkv5f6NWYqyln1CPm/view?usp=drivesdk</t>
  </si>
  <si>
    <t xml:space="preserve">Document successfully created; Document successfully merged; PDF created; Manually run by nirmita.patel27183@paruluniversity.ac.in; Timestamp: Apr 23 2026 6:48 AM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</si>
  <si>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</si>
  <si>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</si>
  <si>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</si>
  <si>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</si>
  <si>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</si>
  <si>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</si>
  <si>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</si>
  <si>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</si>
  <si>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</si>
  <si>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</si>
  <si>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</si>
  <si>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</si>
  <si>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</si>
  <si>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</si>
  <si>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</si>
  <si>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</si>
  <si>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</si>
  <si>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</si>
  <si>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</si>
  <si>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</si>
  <si>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</si>
  <si>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</si>
  <si>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</si>
  <si>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</si>
  <si>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</si>
  <si>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</si>
  <si>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</si>
  <si>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</si>
  <si>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</si>
  <si>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</si>
  <si>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</si>
  <si>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</si>
  <si>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</si>
  <si>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</si>
  <si>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</si>
  <si>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</si>
  <si>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</si>
  <si>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</si>
  <si>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</si>
  <si>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</si>
  <si>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</si>
  <si>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</si>
  <si>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</si>
  <si>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</si>
  <si>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</si>
  <si>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</si>
  <si>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</si>
  <si>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</si>
  <si>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</si>
  <si>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</si>
  <si>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</si>
  <si>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</si>
  <si>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</si>
  <si>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</si>
  <si>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</si>
  <si>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</si>
  <si>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</si>
  <si>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</si>
  <si>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</si>
  <si>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</si>
  <si>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</si>
  <si>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</si>
  <si>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</si>
  <si>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</si>
  <si>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</si>
  <si>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</si>
  <si>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</si>
  <si>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</si>
  <si>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</si>
  <si>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</si>
  <si>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</si>
  <si>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</si>
  <si>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</si>
  <si>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</si>
  <si>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</si>
  <si>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</si>
  <si>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</si>
  <si>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</si>
  <si>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</si>
  <si>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</si>
  <si>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</si>
  <si>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</si>
  <si>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</si>
  <si>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</si>
  <si>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</si>
  <si>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</si>
  <si>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</si>
  <si>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</si>
  <si>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</si>
  <si>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</si>
  <si>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</si>
  <si>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</si>
  <si>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</si>
  <si>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</si>
  <si>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</si>
  <si>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</si>
  <si>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</si>
  <si>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</si>
  <si>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</si>
  <si>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</si>
  <si>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</si>
  <si>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</si>
  <si>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</si>
  <si>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</si>
  <si>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</si>
  <si>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</si>
  <si>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</si>
  <si>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</si>
  <si>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</si>
  <si>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</si>
  <si>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</si>
  <si>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</si>
  <si>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</si>
  <si>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</si>
  <si>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</si>
  <si>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</si>
  <si>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</si>
  <si>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</si>
  <si>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</si>
  <si>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</si>
  <si>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</si>
  <si>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</si>
  <si>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</si>
  <si>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</si>
  <si>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</si>
  <si>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</si>
  <si>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</si>
  <si>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</si>
  <si>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</si>
  <si>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</si>
  <si>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</si>
  <si>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</si>
  <si>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</si>
  <si>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</si>
  <si>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</si>
  <si>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</si>
  <si>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</si>
  <si>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</si>
  <si>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</si>
  <si>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</si>
  <si>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</si>
  <si>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</si>
  <si>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</si>
  <si>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</si>
  <si>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</si>
  <si>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</si>
  <si>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</si>
  <si>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</si>
  <si>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</si>
  <si>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</si>
  <si>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</si>
  <si>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</si>
  <si>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</si>
  <si>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</si>
  <si>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</si>
  <si>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</si>
  <si>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Mr. Ashish Shah</t>
  </si>
  <si>
    <t xml:space="preserve">Mr. Vikash Verma</t>
  </si>
  <si>
    <t xml:space="preserve">Mr. Ishan Desai</t>
  </si>
  <si>
    <t xml:space="preserve">Power System - I </t>
  </si>
  <si>
    <t>2526ECD0386</t>
  </si>
  <si>
    <t>1wOuYeHtarx_tKiscCvISOnpheAA3LoXB</t>
  </si>
  <si>
    <t>https://drive.google.com/file/d/1wOuYeHtarx_tKiscCvISOnpheAA3LoXB/view?usp=drivesdk</t>
  </si>
  <si>
    <t xml:space="preserve">Document successfully created; Document successfully merged; PDF created; Manually run by nirmita.patel27183@paruluniversity.ac.in; Timestamp: Apr 27 2026 4:49 AM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</si>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</sst>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38">
    <font>
      <sz val="10.000000"/>
      <color theme="1"/>
      <name val="Arial"/>
      <scheme val="minor"/>
    </font>
    <font>
      <color theme="1"/>
      <name val="Arial"/>
      <scheme val="minor"/>
    </font>
    <font>
      <b/>
      <i/>
      <name val="Arial"/>
      <scheme val="minor"/>
    </font>
    <font>
      <u/>
      <color indexed="4"/>
      <name val="Roboto"/>
    </font>
    <font>
      <u/>
      <sz val="10.000000"/>
      <color theme="10"/>
      <name val="Arial"/>
    </font>
    <font>
      <b/>
      <sz val="18.000000"/>
      <color theme="1"/>
      <name val="Arial"/>
      <scheme val="minor"/>
    </font>
    <font>
      <color theme="1"/>
      <name val="Arial"/>
    </font>
    <font>
      <b/>
      <sz val="16.000000"/>
      <color theme="1"/>
      <name val="Arial"/>
      <scheme val="minor"/>
    </font>
    <font>
      <sz val="12.000000"/>
      <color theme="1"/>
      <name val="Times New Roman"/>
    </font>
    <font>
      <b/>
      <sz val="15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sz val="12.000000"/>
      <color theme="1"/>
      <name val="Arial"/>
    </font>
    <font>
      <sz val="12.000000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sz val="14.000000"/>
      <color theme="1"/>
      <name val="Arial"/>
      <scheme val="minor"/>
    </font>
    <font>
      <sz val="11.000000"/>
      <color theme="1"/>
      <name val="Arial"/>
    </font>
    <font>
      <sz val="12.000000"/>
      <color theme="1"/>
      <name val="Arial"/>
      <scheme val="minor"/>
    </font>
    <font>
      <b/>
      <sz val="16.000000"/>
      <color rgb="FF434343"/>
      <name val="Arial"/>
    </font>
    <font>
      <b/>
      <sz val="17.000000"/>
      <color rgb="FF434343"/>
      <name val="Arial"/>
    </font>
    <font>
      <b/>
      <sz val="13.000000"/>
      <color theme="1"/>
      <name val="Arial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EFEFEF"/>
        <bgColor rgb="FFEFEFEF"/>
      </patternFill>
    </fill>
    <fill>
      <patternFill patternType="solid">
        <fgColor indexed="65"/>
        <bgColor indexed="65"/>
      </patternFill>
    </fill>
    <fill>
      <patternFill patternType="solid">
        <fgColor rgb="FFE6B8AF"/>
        <bgColor rgb="FFE6B8AF"/>
      </patternFill>
    </fill>
    <fill>
      <patternFill patternType="solid">
        <fgColor rgb="FFF8F9FA"/>
        <bgColor rgb="FFF8F9FA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indexed="2"/>
        <bgColor indexed="2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32">
    <border>
      <left style="none"/>
      <right style="none"/>
      <top style="none"/>
      <bottom style="none"/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none"/>
      <right style="thin">
        <color rgb="FF5B3F86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none"/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 style="none"/>
    </border>
    <border>
      <left style="thin">
        <color indexed="2"/>
      </left>
      <right style="thin">
        <color indexed="2"/>
      </right>
      <top style="thin">
        <color indexed="2"/>
      </top>
      <bottom style="none"/>
      <diagonal style="none"/>
    </border>
    <border>
      <left style="thin">
        <color indexed="7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indexed="7"/>
      </left>
      <right style="none"/>
      <top style="thin">
        <color indexed="7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none"/>
      <diagonal style="none"/>
    </border>
    <border>
      <left style="thin">
        <color indexed="2"/>
      </left>
      <right style="thin">
        <color indexed="2"/>
      </right>
      <top style="thin">
        <color indexed="2"/>
      </top>
      <bottom style="thin">
        <color indexed="2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E7E6E6"/>
      </left>
      <right style="none"/>
      <top style="thin">
        <color rgb="FFE7E6E6"/>
      </top>
      <bottom style="thin">
        <color rgb="FFE7E6E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5B3F86"/>
      </left>
      <right/>
      <top/>
      <bottom/>
      <diagonal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</borders>
  <cellStyleXfs count="1">
    <xf fontId="0" fillId="0" borderId="0" numFmtId="0" applyNumberFormat="1" applyFont="1" applyFill="1" applyBorder="1"/>
  </cellStyleXfs>
  <cellXfs count="321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left" vertical="center"/>
    </xf>
    <xf fontId="1" fillId="2" borderId="2" numFmtId="0" xfId="0" applyFont="1" applyFill="1" applyBorder="1" applyAlignment="1">
      <alignment horizontal="left" readingOrder="0" vertical="center"/>
    </xf>
    <xf fontId="2" fillId="3" borderId="2" numFmtId="0" xfId="0" applyFont="1" applyFill="1" applyBorder="1" applyAlignment="1">
      <alignment horizontal="left" readingOrder="0" vertical="center"/>
    </xf>
    <xf fontId="2" fillId="3" borderId="3" numFmtId="0" xfId="0" applyFont="1" applyFill="1" applyBorder="1" applyAlignment="1">
      <alignment horizontal="left" readingOrder="0" vertical="center"/>
    </xf>
    <xf fontId="1" fillId="4" borderId="4" numFmtId="0" xfId="0" applyFont="1" applyFill="1" applyBorder="1" applyAlignment="1">
      <alignment vertical="center"/>
    </xf>
    <xf fontId="1" fillId="4" borderId="0" numFmtId="0" xfId="0" applyFont="1" applyFill="1" applyAlignment="1">
      <alignment vertical="center"/>
    </xf>
    <xf fontId="1" fillId="4" borderId="0" numFmtId="0" xfId="0" applyFont="1" applyFill="1" applyAlignment="1">
      <alignment readingOrder="0" vertical="center"/>
    </xf>
    <xf fontId="1" fillId="4" borderId="0" numFmtId="164" xfId="0" applyNumberFormat="1" applyFont="1" applyFill="1" applyAlignment="1">
      <alignment readingOrder="0" vertical="center"/>
    </xf>
    <xf fontId="3" fillId="4" borderId="0" numFmtId="0" xfId="0" applyFont="1" applyFill="1" applyAlignment="1">
      <alignment readingOrder="0" vertical="center"/>
    </xf>
    <xf fontId="4" fillId="4" borderId="0" numFmtId="0" xfId="0" applyFont="1" applyFill="1" applyAlignment="1">
      <alignment readingOrder="0" vertical="center"/>
    </xf>
    <xf fontId="1" fillId="4" borderId="5" numFmtId="0" xfId="0" applyFont="1" applyFill="1" applyBorder="1" applyAlignment="1">
      <alignment readingOrder="0" vertical="center"/>
    </xf>
    <xf fontId="5" fillId="4" borderId="4" numFmtId="0" xfId="0" applyFont="1" applyFill="1" applyBorder="1" applyAlignment="1">
      <alignment vertical="center"/>
    </xf>
    <xf fontId="6" fillId="5" borderId="6" numFmtId="0" xfId="0" applyFont="1" applyFill="1" applyBorder="1"/>
    <xf fontId="1" fillId="5" borderId="0" numFmtId="0" xfId="0" applyFont="1" applyFill="1" applyAlignment="1">
      <alignment readingOrder="0" vertical="center"/>
    </xf>
    <xf fontId="1" fillId="5" borderId="0" numFmtId="164" xfId="0" applyNumberFormat="1" applyFont="1" applyFill="1" applyAlignment="1">
      <alignment readingOrder="0" vertical="center"/>
    </xf>
    <xf fontId="3" fillId="5" borderId="0" numFmtId="0" xfId="0" applyFont="1" applyFill="1" applyAlignment="1">
      <alignment readingOrder="0" vertical="center"/>
    </xf>
    <xf fontId="4" fillId="5" borderId="0" numFmtId="0" xfId="0" applyFont="1" applyFill="1" applyAlignment="1">
      <alignment readingOrder="0" vertical="center"/>
    </xf>
    <xf fontId="1" fillId="5" borderId="5" numFmtId="0" xfId="0" applyFont="1" applyFill="1" applyBorder="1" applyAlignment="1">
      <alignment readingOrder="0" vertical="center"/>
    </xf>
    <xf fontId="6" fillId="5" borderId="6" numFmtId="0" xfId="0" applyFont="1" applyFill="1" applyBorder="1" applyAlignment="1">
      <alignment readingOrder="0"/>
    </xf>
    <xf fontId="1" fillId="5" borderId="0" numFmtId="0" xfId="0" applyFont="1" applyFill="1" applyAlignment="1">
      <alignment vertical="center"/>
    </xf>
    <xf fontId="7" fillId="6" borderId="4" numFmtId="0" xfId="0" applyFont="1" applyFill="1" applyBorder="1" applyAlignment="1">
      <alignment vertical="center"/>
    </xf>
    <xf fontId="8" fillId="7" borderId="0" numFmtId="0" xfId="0" applyFont="1" applyFill="1" applyAlignment="1">
      <alignment horizontal="center" vertical="center" wrapText="1"/>
    </xf>
    <xf fontId="1" fillId="7" borderId="0" numFmtId="0" xfId="0" applyFont="1" applyFill="1" applyAlignment="1">
      <alignment readingOrder="0" vertical="center"/>
    </xf>
    <xf fontId="1" fillId="7" borderId="0" numFmtId="164" xfId="0" applyNumberFormat="1" applyFont="1" applyFill="1" applyAlignment="1">
      <alignment readingOrder="0" vertical="center"/>
    </xf>
    <xf fontId="3" fillId="7" borderId="0" numFmtId="0" xfId="0" applyFont="1" applyFill="1" applyAlignment="1">
      <alignment readingOrder="0" vertical="center"/>
    </xf>
    <xf fontId="4" fillId="7" borderId="0" numFmtId="0" xfId="0" applyFont="1" applyFill="1" applyAlignment="1">
      <alignment readingOrder="0" vertical="center"/>
    </xf>
    <xf fontId="1" fillId="7" borderId="5" numFmtId="0" xfId="0" applyFont="1" applyFill="1" applyBorder="1" applyAlignment="1">
      <alignment readingOrder="0" vertical="center"/>
    </xf>
    <xf fontId="1" fillId="7" borderId="0" numFmtId="0" xfId="0" applyFont="1" applyFill="1" applyAlignment="1">
      <alignment vertical="center"/>
    </xf>
    <xf fontId="9" fillId="6" borderId="4" numFmtId="0" xfId="0" applyFont="1" applyFill="1" applyBorder="1" applyAlignment="1">
      <alignment vertical="center"/>
    </xf>
    <xf fontId="6" fillId="8" borderId="6" numFmtId="0" xfId="0" applyFont="1" applyFill="1" applyBorder="1" applyAlignment="1">
      <alignment horizontal="center" readingOrder="0" vertical="center" wrapText="1"/>
    </xf>
    <xf fontId="6" fillId="8" borderId="7" numFmtId="0" xfId="0" applyFont="1" applyFill="1" applyBorder="1" applyAlignment="1">
      <alignment horizontal="center" vertical="center" wrapText="1"/>
    </xf>
    <xf fontId="10" fillId="8" borderId="8" numFmtId="0" xfId="0" applyFont="1" applyFill="1" applyBorder="1" applyAlignment="1">
      <alignment horizontal="center" readingOrder="0" vertical="center"/>
    </xf>
    <xf fontId="1" fillId="8" borderId="0" numFmtId="164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3" fillId="8" borderId="0" numFmtId="0" xfId="0" applyFont="1" applyFill="1" applyAlignment="1">
      <alignment readingOrder="0" vertical="center"/>
    </xf>
    <xf fontId="4" fillId="8" borderId="0" numFmtId="0" xfId="0" applyFont="1" applyFill="1" applyAlignment="1">
      <alignment readingOrder="0" vertical="center"/>
    </xf>
    <xf fontId="1" fillId="8" borderId="5" numFmtId="0" xfId="0" applyFont="1" applyFill="1" applyBorder="1" applyAlignment="1">
      <alignment readingOrder="0" vertical="center"/>
    </xf>
    <xf fontId="6" fillId="8" borderId="0" numFmtId="0" xfId="0" applyFont="1" applyFill="1" applyAlignment="1">
      <alignment horizontal="center" vertical="center" wrapText="1"/>
    </xf>
    <xf fontId="1" fillId="8" borderId="0" numFmtId="164" xfId="0" applyNumberFormat="1" applyFont="1" applyFill="1" applyAlignment="1">
      <alignment readingOrder="0" vertical="center"/>
    </xf>
    <xf fontId="11" fillId="8" borderId="0" numFmtId="0" xfId="0" applyFont="1" applyFill="1" applyAlignment="1">
      <alignment readingOrder="0" vertical="center"/>
    </xf>
    <xf fontId="6" fillId="8" borderId="0" numFmtId="0" xfId="0" applyFont="1" applyFill="1" applyAlignment="1">
      <alignment horizontal="center" readingOrder="0" vertical="center" wrapText="1"/>
    </xf>
    <xf fontId="6" fillId="9" borderId="0" numFmtId="0" xfId="0" applyFont="1" applyFill="1" applyAlignment="1">
      <alignment horizontal="center" readingOrder="0" vertical="center" wrapText="1"/>
    </xf>
    <xf fontId="6" fillId="9" borderId="0" numFmtId="0" xfId="0" applyFont="1" applyFill="1" applyAlignment="1">
      <alignment horizontal="center" vertical="center" wrapText="1"/>
    </xf>
    <xf fontId="10" fillId="9" borderId="8" numFmtId="0" xfId="0" applyFont="1" applyFill="1" applyBorder="1" applyAlignment="1">
      <alignment horizontal="center" readingOrder="0" vertical="center"/>
    </xf>
    <xf fontId="10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3" fillId="9" borderId="0" numFmtId="0" xfId="0" applyFont="1" applyFill="1" applyAlignment="1">
      <alignment readingOrder="0" vertical="center"/>
    </xf>
    <xf fontId="4" fillId="9" borderId="0" numFmtId="0" xfId="0" applyFont="1" applyFill="1" applyAlignment="1">
      <alignment readingOrder="0" vertical="center"/>
    </xf>
    <xf fontId="1" fillId="9" borderId="5" numFmtId="0" xfId="0" applyFont="1" applyFill="1" applyBorder="1" applyAlignment="1">
      <alignment readingOrder="0" vertical="center"/>
    </xf>
    <xf fontId="7" fillId="4" borderId="4" numFmtId="0" xfId="0" applyFont="1" applyFill="1" applyBorder="1" applyAlignment="1">
      <alignment vertical="center"/>
    </xf>
    <xf fontId="6" fillId="10" borderId="0" numFmtId="0" xfId="0" applyFont="1" applyFill="1" applyAlignment="1">
      <alignment readingOrder="0" vertical="center"/>
    </xf>
    <xf fontId="6" fillId="10" borderId="0" numFmtId="0" xfId="0" applyFont="1" applyFill="1" applyAlignment="1">
      <alignment vertical="center" wrapText="1"/>
    </xf>
    <xf fontId="10" fillId="10" borderId="8" numFmtId="0" xfId="0" applyFont="1" applyFill="1" applyBorder="1" applyAlignment="1">
      <alignment horizontal="center" readingOrder="0" vertical="center"/>
    </xf>
    <xf fontId="10" fillId="10" borderId="0" numFmtId="165" xfId="0" applyNumberFormat="1" applyFont="1" applyFill="1" applyAlignment="1">
      <alignment horizontal="right" readingOrder="0" vertical="center"/>
    </xf>
    <xf fontId="1" fillId="10" borderId="0" numFmtId="0" xfId="0" applyFont="1" applyFill="1" applyAlignment="1">
      <alignment readingOrder="0" vertical="center"/>
    </xf>
    <xf fontId="3" fillId="10" borderId="0" numFmtId="0" xfId="0" applyFont="1" applyFill="1" applyAlignment="1">
      <alignment readingOrder="0" vertical="center"/>
    </xf>
    <xf fontId="4" fillId="10" borderId="0" numFmtId="0" xfId="0" applyFont="1" applyFill="1" applyAlignment="1">
      <alignment readingOrder="0" vertical="center"/>
    </xf>
    <xf fontId="1" fillId="10" borderId="5" numFmtId="0" xfId="0" applyFont="1" applyFill="1" applyBorder="1" applyAlignment="1">
      <alignment readingOrder="0" vertical="center"/>
    </xf>
    <xf fontId="6" fillId="10" borderId="0" numFmtId="0" xfId="0" applyFont="1" applyFill="1" applyAlignment="1">
      <alignment readingOrder="0"/>
    </xf>
    <xf fontId="6" fillId="10" borderId="0" numFmtId="0" xfId="0" applyFont="1" applyFill="1" applyAlignment="1">
      <alignment wrapText="1"/>
    </xf>
    <xf fontId="6" fillId="10" borderId="0" numFmtId="0" xfId="0" applyFont="1" applyFill="1"/>
    <xf fontId="9" fillId="4" borderId="4" numFmtId="0" xfId="0" applyFont="1" applyFill="1" applyBorder="1" applyAlignment="1">
      <alignment vertical="center"/>
    </xf>
    <xf fontId="6" fillId="11" borderId="6" numFmtId="0" xfId="0" applyFont="1" applyFill="1" applyBorder="1"/>
    <xf fontId="6" fillId="11" borderId="7" numFmtId="0" xfId="0" applyFont="1" applyFill="1" applyBorder="1"/>
    <xf fontId="10" fillId="11" borderId="8" numFmtId="0" xfId="0" applyFont="1" applyFill="1" applyBorder="1" applyAlignment="1">
      <alignment horizontal="center" readingOrder="0" vertical="center"/>
    </xf>
    <xf fontId="10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3" fillId="11" borderId="0" numFmtId="0" xfId="0" applyFont="1" applyFill="1" applyAlignment="1">
      <alignment readingOrder="0" vertical="center"/>
    </xf>
    <xf fontId="4" fillId="11" borderId="0" numFmtId="0" xfId="0" applyFont="1" applyFill="1" applyAlignment="1">
      <alignment readingOrder="0" vertical="center"/>
    </xf>
    <xf fontId="1" fillId="11" borderId="5" numFmtId="0" xfId="0" applyFont="1" applyFill="1" applyBorder="1" applyAlignment="1">
      <alignment readingOrder="0" vertical="center"/>
    </xf>
    <xf fontId="6" fillId="11" borderId="0" numFmtId="0" xfId="0" applyFont="1" applyFill="1"/>
    <xf fontId="5" fillId="6" borderId="4" numFmtId="0" xfId="0" applyFont="1" applyFill="1" applyBorder="1" applyAlignment="1">
      <alignment vertical="center"/>
    </xf>
    <xf fontId="12" fillId="12" borderId="6" numFmtId="0" xfId="0" applyFont="1" applyFill="1" applyBorder="1"/>
    <xf fontId="12" fillId="12" borderId="7" numFmtId="0" xfId="0" applyFont="1" applyFill="1" applyBorder="1" applyAlignment="1">
      <alignment wrapText="1"/>
    </xf>
    <xf fontId="10" fillId="12" borderId="8" numFmtId="0" xfId="0" applyFont="1" applyFill="1" applyBorder="1" applyAlignment="1">
      <alignment horizontal="center" readingOrder="0" vertical="center"/>
    </xf>
    <xf fontId="10" fillId="12" borderId="0" numFmtId="165" xfId="0" applyNumberFormat="1" applyFont="1" applyFill="1" applyAlignment="1">
      <alignment horizontal="right" readingOrder="0" vertical="center"/>
    </xf>
    <xf fontId="1" fillId="12" borderId="0" numFmtId="0" xfId="0" applyFont="1" applyFill="1" applyAlignment="1">
      <alignment readingOrder="0" vertical="center"/>
    </xf>
    <xf fontId="3" fillId="12" borderId="0" numFmtId="0" xfId="0" applyFont="1" applyFill="1" applyAlignment="1">
      <alignment readingOrder="0" vertical="center"/>
    </xf>
    <xf fontId="4" fillId="12" borderId="0" numFmtId="0" xfId="0" applyFont="1" applyFill="1" applyAlignment="1">
      <alignment readingOrder="0" vertical="center"/>
    </xf>
    <xf fontId="1" fillId="12" borderId="5" numFmtId="0" xfId="0" applyFont="1" applyFill="1" applyBorder="1" applyAlignment="1">
      <alignment readingOrder="0" vertical="center"/>
    </xf>
    <xf fontId="12" fillId="12" borderId="7" numFmtId="0" xfId="0" applyFont="1" applyFill="1" applyBorder="1"/>
    <xf fontId="13" fillId="6" borderId="0" numFmtId="0" xfId="0" applyFont="1" applyFill="1" applyAlignment="1">
      <alignment readingOrder="0" vertical="center"/>
    </xf>
    <xf fontId="13" fillId="6" borderId="0" numFmtId="0" xfId="0" applyFont="1" applyFill="1" applyAlignment="1">
      <alignment vertical="center"/>
    </xf>
    <xf fontId="10" fillId="13" borderId="8" numFmtId="0" xfId="0" applyFont="1" applyFill="1" applyBorder="1" applyAlignment="1">
      <alignment horizontal="center" readingOrder="0" vertical="center"/>
    </xf>
    <xf fontId="13" fillId="4" borderId="0" numFmtId="0" xfId="0" applyFont="1" applyFill="1" applyAlignment="1">
      <alignment vertical="center"/>
    </xf>
    <xf fontId="6" fillId="14" borderId="6" numFmtId="0" xfId="0" applyFont="1" applyFill="1" applyBorder="1" applyAlignment="1">
      <alignment vertical="center"/>
    </xf>
    <xf fontId="6" fillId="14" borderId="7" numFmtId="0" xfId="0" applyFont="1" applyFill="1" applyBorder="1" applyAlignment="1">
      <alignment vertical="center"/>
    </xf>
    <xf fontId="10" fillId="14" borderId="8" numFmtId="0" xfId="0" applyFont="1" applyFill="1" applyBorder="1" applyAlignment="1">
      <alignment horizontal="center" readingOrder="0" vertical="center"/>
    </xf>
    <xf fontId="10" fillId="14" borderId="0" numFmtId="165" xfId="0" applyNumberFormat="1" applyFont="1" applyFill="1" applyAlignment="1">
      <alignment horizontal="right" readingOrder="0" vertical="center"/>
    </xf>
    <xf fontId="1" fillId="14" borderId="0" numFmtId="0" xfId="0" applyFont="1" applyFill="1" applyAlignment="1">
      <alignment readingOrder="0" vertical="center"/>
    </xf>
    <xf fontId="3" fillId="14" borderId="0" numFmtId="0" xfId="0" applyFont="1" applyFill="1" applyAlignment="1">
      <alignment readingOrder="0" vertical="center"/>
    </xf>
    <xf fontId="4" fillId="14" borderId="0" numFmtId="0" xfId="0" applyFont="1" applyFill="1" applyAlignment="1">
      <alignment readingOrder="0" vertical="center"/>
    </xf>
    <xf fontId="1" fillId="14" borderId="5" numFmtId="0" xfId="0" applyFont="1" applyFill="1" applyBorder="1" applyAlignment="1">
      <alignment readingOrder="0" vertical="center"/>
    </xf>
    <xf fontId="6" fillId="14" borderId="7" numFmtId="0" xfId="0" applyFont="1" applyFill="1" applyBorder="1" applyAlignment="1">
      <alignment readingOrder="0" vertical="center"/>
    </xf>
    <xf fontId="14" fillId="14" borderId="0" numFmtId="0" xfId="0" applyFont="1" applyFill="1"/>
    <xf fontId="10" fillId="14" borderId="0" numFmtId="165" xfId="0" applyNumberFormat="1" applyFont="1" applyFill="1" applyAlignment="1">
      <alignment horizontal="right" vertical="center"/>
    </xf>
    <xf fontId="10" fillId="14" borderId="9" numFmtId="0" xfId="0" applyFont="1" applyFill="1" applyBorder="1" applyAlignment="1">
      <alignment horizontal="center" readingOrder="0" vertical="center"/>
    </xf>
    <xf fontId="6" fillId="14" borderId="6" numFmtId="165" xfId="0" applyNumberFormat="1" applyFont="1" applyFill="1" applyBorder="1" applyAlignment="1">
      <alignment readingOrder="0" vertical="center"/>
    </xf>
    <xf fontId="15" fillId="14" borderId="6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readingOrder="0" vertical="center"/>
    </xf>
    <xf fontId="16" fillId="14" borderId="7" numFmtId="0" xfId="0" applyFont="1" applyFill="1" applyBorder="1" applyAlignment="1">
      <alignment vertical="center"/>
    </xf>
    <xf fontId="17" fillId="14" borderId="6" numFmtId="165" xfId="0" applyNumberFormat="1" applyFont="1" applyFill="1" applyBorder="1" applyAlignment="1">
      <alignment readingOrder="0" vertical="center"/>
    </xf>
    <xf fontId="18" fillId="14" borderId="7" numFmtId="0" xfId="0" applyFont="1" applyFill="1" applyBorder="1" applyAlignment="1">
      <alignment vertical="center"/>
    </xf>
    <xf fontId="17" fillId="14" borderId="6" numFmtId="0" xfId="0" applyFont="1" applyFill="1" applyBorder="1" applyAlignment="1">
      <alignment vertical="center"/>
    </xf>
    <xf fontId="17" fillId="14" borderId="7" numFmtId="0" xfId="0" applyFont="1" applyFill="1" applyBorder="1" applyAlignment="1">
      <alignment vertical="center"/>
    </xf>
    <xf fontId="17" fillId="15" borderId="6" numFmtId="0" xfId="0" applyFont="1" applyFill="1" applyBorder="1" applyAlignment="1">
      <alignment vertical="center"/>
    </xf>
    <xf fontId="17" fillId="15" borderId="7" numFmtId="0" xfId="0" applyFont="1" applyFill="1" applyBorder="1" applyAlignment="1">
      <alignment vertical="center"/>
    </xf>
    <xf fontId="10" fillId="15" borderId="9" numFmtId="0" xfId="0" applyFont="1" applyFill="1" applyBorder="1" applyAlignment="1">
      <alignment horizontal="center" readingOrder="0" vertical="center"/>
    </xf>
    <xf fontId="17" fillId="15" borderId="6" numFmtId="165" xfId="0" applyNumberFormat="1" applyFont="1" applyFill="1" applyBorder="1" applyAlignment="1">
      <alignment horizontal="center" readingOrder="0" vertical="center"/>
    </xf>
    <xf fontId="17" fillId="14" borderId="6" numFmtId="0" xfId="0" applyFont="1" applyFill="1" applyBorder="1" applyAlignment="1">
      <alignment horizontal="center" vertical="center"/>
    </xf>
    <xf fontId="17" fillId="14" borderId="6" numFmtId="165" xfId="0" applyNumberFormat="1" applyFont="1" applyFill="1" applyBorder="1" applyAlignment="1">
      <alignment horizontal="center" readingOrder="0" vertical="center"/>
    </xf>
    <xf fontId="6" fillId="14" borderId="0" numFmtId="0" xfId="0" applyFont="1" applyFill="1" applyAlignment="1">
      <alignment vertical="center"/>
    </xf>
    <xf fontId="19" fillId="6" borderId="4" numFmtId="0" xfId="0" applyFont="1" applyFill="1" applyBorder="1" applyAlignment="1">
      <alignment vertical="center"/>
    </xf>
    <xf fontId="6" fillId="16" borderId="0" numFmtId="0" xfId="0" applyFont="1" applyFill="1" applyAlignment="1">
      <alignment readingOrder="0" vertical="center"/>
    </xf>
    <xf fontId="6" fillId="16" borderId="0" numFmtId="0" xfId="0" applyFont="1" applyFill="1" applyAlignment="1">
      <alignment vertical="center"/>
    </xf>
    <xf fontId="10" fillId="16" borderId="8" numFmtId="0" xfId="0" applyFont="1" applyFill="1" applyBorder="1" applyAlignment="1">
      <alignment horizontal="center" readingOrder="0" vertical="center"/>
    </xf>
    <xf fontId="17" fillId="16" borderId="0" numFmtId="165" xfId="0" applyNumberFormat="1" applyFont="1" applyFill="1" applyAlignment="1">
      <alignment readingOrder="0" vertical="center"/>
    </xf>
    <xf fontId="1" fillId="16" borderId="0" numFmtId="0" xfId="0" applyFont="1" applyFill="1" applyAlignment="1">
      <alignment readingOrder="0" vertical="center"/>
    </xf>
    <xf fontId="3" fillId="16" borderId="0" numFmtId="0" xfId="0" applyFont="1" applyFill="1" applyAlignment="1">
      <alignment readingOrder="0" vertical="center"/>
    </xf>
    <xf fontId="4" fillId="16" borderId="0" numFmtId="0" xfId="0" applyFont="1" applyFill="1" applyAlignment="1">
      <alignment readingOrder="0" vertical="center"/>
    </xf>
    <xf fontId="1" fillId="16" borderId="5" numFmtId="0" xfId="0" applyFont="1" applyFill="1" applyBorder="1" applyAlignment="1">
      <alignment readingOrder="0" vertical="center"/>
    </xf>
    <xf fontId="16" fillId="16" borderId="0" numFmtId="0" xfId="0" applyFont="1" applyFill="1" applyAlignment="1">
      <alignment horizontal="left" vertical="center"/>
    </xf>
    <xf fontId="1" fillId="16" borderId="0" numFmtId="0" xfId="0" applyFont="1" applyFill="1" applyAlignment="1">
      <alignment vertical="center"/>
    </xf>
    <xf fontId="10" fillId="16" borderId="10" numFmtId="0" xfId="0" applyFont="1" applyFill="1" applyBorder="1" applyAlignment="1">
      <alignment horizontal="center" readingOrder="0" vertical="center"/>
    </xf>
    <xf fontId="17" fillId="16" borderId="0" numFmtId="165" xfId="0" applyNumberFormat="1" applyFont="1" applyFill="1" applyAlignment="1">
      <alignment vertical="center"/>
    </xf>
    <xf fontId="20" fillId="17" borderId="7" numFmtId="0" xfId="0" applyFont="1" applyFill="1" applyBorder="1" applyAlignment="1">
      <alignment vertical="center" wrapText="1"/>
    </xf>
    <xf fontId="21" fillId="17" borderId="11" numFmtId="0" xfId="0" applyFont="1" applyFill="1" applyBorder="1"/>
    <xf fontId="10" fillId="17" borderId="11" numFmtId="0" xfId="0" applyFont="1" applyFill="1" applyBorder="1" applyAlignment="1">
      <alignment horizontal="center" vertical="center"/>
    </xf>
    <xf fontId="10" fillId="17" borderId="11" numFmtId="164" xfId="0" applyNumberFormat="1" applyFont="1" applyFill="1" applyBorder="1" applyAlignment="1">
      <alignment horizontal="right" vertical="center"/>
    </xf>
    <xf fontId="1" fillId="17" borderId="0" numFmtId="0" xfId="0" applyFont="1" applyFill="1" applyAlignment="1">
      <alignment readingOrder="0" vertical="center"/>
    </xf>
    <xf fontId="3" fillId="17" borderId="0" numFmtId="0" xfId="0" applyFont="1" applyFill="1" applyAlignment="1">
      <alignment readingOrder="0" vertical="center"/>
    </xf>
    <xf fontId="4" fillId="17" borderId="0" numFmtId="0" xfId="0" applyFont="1" applyFill="1" applyAlignment="1">
      <alignment readingOrder="0" vertical="center"/>
    </xf>
    <xf fontId="1" fillId="17" borderId="5" numFmtId="0" xfId="0" applyFont="1" applyFill="1" applyBorder="1" applyAlignment="1">
      <alignment readingOrder="0" vertical="center"/>
    </xf>
    <xf fontId="21" fillId="17" borderId="12" numFmtId="0" xfId="0" applyFont="1" applyFill="1" applyBorder="1"/>
    <xf fontId="10" fillId="17" borderId="12" numFmtId="0" xfId="0" applyFont="1" applyFill="1" applyBorder="1" applyAlignment="1">
      <alignment horizontal="center" vertical="center"/>
    </xf>
    <xf fontId="10" fillId="17" borderId="12" numFmtId="164" xfId="0" applyNumberFormat="1" applyFont="1" applyFill="1" applyBorder="1" applyAlignment="1">
      <alignment horizontal="right" vertical="center"/>
    </xf>
    <xf fontId="22" fillId="18" borderId="6" numFmtId="0" xfId="0" applyFont="1" applyFill="1" applyBorder="1"/>
    <xf fontId="22" fillId="18" borderId="7" numFmtId="0" xfId="0" applyFont="1" applyFill="1" applyBorder="1" applyAlignment="1">
      <alignment wrapText="1"/>
    </xf>
    <xf fontId="10" fillId="18" borderId="8" numFmtId="0" xfId="0" applyFont="1" applyFill="1" applyBorder="1" applyAlignment="1">
      <alignment horizontal="center" vertical="center"/>
    </xf>
    <xf fontId="10" fillId="18" borderId="8" numFmtId="164" xfId="0" applyNumberFormat="1" applyFont="1" applyFill="1" applyBorder="1" applyAlignment="1">
      <alignment horizontal="right" vertical="center"/>
    </xf>
    <xf fontId="1" fillId="18" borderId="0" numFmtId="0" xfId="0" applyFont="1" applyFill="1" applyAlignment="1">
      <alignment readingOrder="0" vertical="center"/>
    </xf>
    <xf fontId="3" fillId="18" borderId="0" numFmtId="0" xfId="0" applyFont="1" applyFill="1" applyAlignment="1">
      <alignment readingOrder="0" vertical="center"/>
    </xf>
    <xf fontId="4" fillId="18" borderId="0" numFmtId="0" xfId="0" applyFont="1" applyFill="1" applyAlignment="1">
      <alignment readingOrder="0" vertical="center"/>
    </xf>
    <xf fontId="1" fillId="18" borderId="5" numFmtId="0" xfId="0" applyFont="1" applyFill="1" applyBorder="1" applyAlignment="1">
      <alignment readingOrder="0" vertical="center"/>
    </xf>
    <xf fontId="22" fillId="18" borderId="7" numFmtId="0" xfId="0" applyFont="1" applyFill="1" applyBorder="1"/>
    <xf fontId="10" fillId="18" borderId="10" numFmtId="0" xfId="0" applyFont="1" applyFill="1" applyBorder="1" applyAlignment="1">
      <alignment horizontal="center" vertical="center"/>
    </xf>
    <xf fontId="10" fillId="18" borderId="10" numFmtId="164" xfId="0" applyNumberFormat="1" applyFont="1" applyFill="1" applyBorder="1" applyAlignment="1">
      <alignment horizontal="right" vertical="center"/>
    </xf>
    <xf fontId="22" fillId="15" borderId="6" numFmtId="0" xfId="0" applyFont="1" applyFill="1" applyBorder="1"/>
    <xf fontId="22" fillId="15" borderId="7" numFmtId="0" xfId="0" applyFont="1" applyFill="1" applyBorder="1"/>
    <xf fontId="10" fillId="15" borderId="13" numFmtId="0" xfId="0" applyFont="1" applyFill="1" applyBorder="1" applyAlignment="1">
      <alignment horizontal="center" vertical="center"/>
    </xf>
    <xf fontId="10" fillId="15" borderId="13" numFmtId="164" xfId="0" applyNumberFormat="1" applyFont="1" applyFill="1" applyBorder="1" applyAlignment="1">
      <alignment horizontal="right" vertical="center"/>
    </xf>
    <xf fontId="11" fillId="18" borderId="0" numFmtId="0" xfId="0" applyFont="1" applyFill="1" applyAlignment="1">
      <alignment readingOrder="0" vertical="center"/>
    </xf>
    <xf fontId="23" fillId="18" borderId="14" numFmtId="0" xfId="0" applyFont="1" applyFill="1" applyBorder="1"/>
    <xf fontId="21" fillId="18" borderId="6" numFmtId="0" xfId="0" applyFont="1" applyFill="1" applyBorder="1"/>
    <xf fontId="22" fillId="18" borderId="15" numFmtId="0" xfId="0" applyFont="1" applyFill="1" applyBorder="1"/>
    <xf fontId="24" fillId="18" borderId="10" numFmtId="0" xfId="0" applyFont="1" applyFill="1" applyBorder="1"/>
    <xf fontId="21" fillId="18" borderId="16" numFmtId="0" xfId="0" applyFont="1" applyFill="1" applyBorder="1"/>
    <xf fontId="24" fillId="18" borderId="7" numFmtId="0" xfId="0" applyFont="1" applyFill="1" applyBorder="1" applyAlignment="1">
      <alignment vertical="top"/>
    </xf>
    <xf fontId="25" fillId="18" borderId="9" numFmtId="0" xfId="0" applyFont="1" applyFill="1" applyBorder="1"/>
    <xf fontId="21" fillId="18" borderId="8" numFmtId="164" xfId="0" applyNumberFormat="1" applyFont="1" applyFill="1" applyBorder="1" applyAlignment="1">
      <alignment horizontal="right"/>
    </xf>
    <xf fontId="25" fillId="18" borderId="17" numFmtId="0" xfId="0" applyFont="1" applyFill="1" applyBorder="1"/>
    <xf fontId="23" fillId="18" borderId="6" numFmtId="0" xfId="0" applyFont="1" applyFill="1" applyBorder="1"/>
    <xf fontId="25" fillId="18" borderId="6" numFmtId="0" xfId="0" applyFont="1" applyFill="1" applyBorder="1"/>
    <xf fontId="25" fillId="18" borderId="7" numFmtId="0" xfId="0" applyFont="1" applyFill="1" applyBorder="1"/>
    <xf fontId="21" fillId="18" borderId="10" numFmtId="164" xfId="0" applyNumberFormat="1" applyFont="1" applyFill="1" applyBorder="1" applyAlignment="1">
      <alignment horizontal="right"/>
    </xf>
    <xf fontId="26" fillId="4" borderId="4" numFmtId="0" xfId="0" applyFont="1" applyFill="1" applyBorder="1" applyAlignment="1">
      <alignment vertical="center"/>
    </xf>
    <xf fontId="27" fillId="15" borderId="6" numFmtId="0" xfId="0" applyFont="1" applyFill="1" applyBorder="1"/>
    <xf fontId="27" fillId="15" borderId="7" numFmtId="0" xfId="0" applyFont="1" applyFill="1" applyBorder="1" applyAlignment="1">
      <alignment horizontal="center" wrapText="1"/>
    </xf>
    <xf fontId="27" fillId="19" borderId="6" numFmtId="0" xfId="0" applyFont="1" applyFill="1" applyBorder="1"/>
    <xf fontId="27" fillId="19" borderId="7" numFmtId="0" xfId="0" applyFont="1" applyFill="1" applyBorder="1" applyAlignment="1">
      <alignment horizontal="center"/>
    </xf>
    <xf fontId="10" fillId="19" borderId="18" numFmtId="0" xfId="0" applyFont="1" applyFill="1" applyBorder="1" applyAlignment="1">
      <alignment horizontal="center" vertical="center"/>
    </xf>
    <xf fontId="10" fillId="19" borderId="18" numFmtId="164" xfId="0" applyNumberFormat="1" applyFont="1" applyFill="1" applyBorder="1" applyAlignment="1">
      <alignment horizontal="right" vertical="center"/>
    </xf>
    <xf fontId="28" fillId="19" borderId="7" numFmtId="0" xfId="0" applyFont="1" applyFill="1" applyBorder="1" applyAlignment="1">
      <alignment horizontal="center"/>
    </xf>
    <xf fontId="25" fillId="19" borderId="6" numFmtId="0" xfId="0" applyFont="1" applyFill="1" applyBorder="1"/>
    <xf fontId="25" fillId="19" borderId="7" numFmtId="0" xfId="0" applyFont="1" applyFill="1" applyBorder="1" applyAlignment="1">
      <alignment horizontal="center"/>
    </xf>
    <xf fontId="10" fillId="19" borderId="19" numFmtId="0" xfId="0" applyFont="1" applyFill="1" applyBorder="1" applyAlignment="1">
      <alignment horizontal="center" vertical="center"/>
    </xf>
    <xf fontId="10" fillId="19" borderId="19" numFmtId="164" xfId="0" applyNumberFormat="1" applyFont="1" applyFill="1" applyBorder="1" applyAlignment="1">
      <alignment horizontal="right" vertical="center"/>
    </xf>
    <xf fontId="27" fillId="15" borderId="7" numFmtId="0" xfId="0" applyFont="1" applyFill="1" applyBorder="1" applyAlignment="1">
      <alignment horizontal="center"/>
    </xf>
    <xf fontId="27" fillId="19" borderId="7" numFmtId="0" xfId="0" applyFont="1" applyFill="1" applyBorder="1" applyAlignment="1">
      <alignment horizontal="center" readingOrder="0"/>
    </xf>
    <xf fontId="29" fillId="19" borderId="7" numFmtId="0" xfId="0" applyFont="1" applyFill="1" applyBorder="1" applyAlignment="1">
      <alignment horizontal="center"/>
    </xf>
    <xf fontId="30" fillId="19" borderId="7" numFmtId="0" xfId="0" applyFont="1" applyFill="1" applyBorder="1" applyAlignment="1">
      <alignment horizontal="center" vertical="center" wrapText="1"/>
    </xf>
    <xf fontId="10" fillId="15" borderId="20" numFmtId="0" xfId="0" applyFont="1" applyFill="1" applyBorder="1" applyAlignment="1">
      <alignment horizontal="center" vertical="center"/>
    </xf>
    <xf fontId="10" fillId="15" borderId="20" numFmtId="164" xfId="0" applyNumberFormat="1" applyFont="1" applyFill="1" applyBorder="1" applyAlignment="1">
      <alignment horizontal="right" vertical="center"/>
    </xf>
    <xf fontId="10" fillId="19" borderId="21" numFmtId="164" xfId="0" applyNumberFormat="1" applyFont="1" applyFill="1" applyBorder="1" applyAlignment="1">
      <alignment horizontal="right" vertical="center"/>
    </xf>
    <xf fontId="31" fillId="17" borderId="0" numFmtId="0" xfId="0" applyFont="1" applyFill="1"/>
    <xf fontId="31" fillId="7" borderId="0" numFmtId="0" xfId="0" applyFont="1" applyFill="1"/>
    <xf fontId="6" fillId="17" borderId="6" numFmtId="0" xfId="0" applyFont="1" applyFill="1" applyBorder="1"/>
    <xf fontId="16" fillId="17" borderId="7" numFmtId="0" xfId="0" applyFont="1" applyFill="1" applyBorder="1" applyAlignment="1">
      <alignment readingOrder="0"/>
    </xf>
    <xf fontId="6" fillId="13" borderId="0" numFmtId="0" xfId="0" applyFont="1" applyFill="1" applyAlignment="1">
      <alignment readingOrder="0"/>
    </xf>
    <xf fontId="16" fillId="13" borderId="0" numFmtId="0" xfId="0" applyFont="1" applyFill="1"/>
    <xf fontId="6" fillId="13" borderId="0" numFmtId="0" xfId="0" applyFont="1" applyFill="1"/>
    <xf fontId="6" fillId="13" borderId="7" numFmtId="0" xfId="0" applyFont="1" applyFill="1" applyBorder="1"/>
    <xf fontId="1" fillId="6" borderId="4" numFmtId="0" xfId="0" applyFont="1" applyFill="1" applyBorder="1" applyAlignment="1">
      <alignment vertical="center"/>
    </xf>
    <xf fontId="16" fillId="17" borderId="7" numFmtId="0" xfId="0" applyFont="1" applyFill="1" applyBorder="1"/>
    <xf fontId="31" fillId="15" borderId="0" numFmtId="0" xfId="0" applyFont="1" applyFill="1"/>
    <xf fontId="16" fillId="17" borderId="15" numFmtId="0" xfId="0" applyFont="1" applyFill="1" applyBorder="1"/>
    <xf fontId="31" fillId="17" borderId="22" numFmtId="0" xfId="0" applyFont="1" applyFill="1" applyBorder="1"/>
    <xf fontId="16" fillId="17" borderId="23" numFmtId="0" xfId="0" applyFont="1" applyFill="1" applyBorder="1"/>
    <xf fontId="31" fillId="17" borderId="24" numFmtId="0" xfId="0" applyFont="1" applyFill="1" applyBorder="1"/>
    <xf fontId="16" fillId="17" borderId="24" numFmtId="0" xfId="0" applyFont="1" applyFill="1" applyBorder="1"/>
    <xf fontId="17" fillId="16" borderId="24" numFmtId="165" xfId="0" applyNumberFormat="1" applyFont="1" applyFill="1" applyBorder="1" applyAlignment="1">
      <alignment vertical="center"/>
    </xf>
    <xf fontId="1" fillId="18" borderId="24" numFmtId="0" xfId="0" applyFont="1" applyFill="1" applyBorder="1" applyAlignment="1">
      <alignment readingOrder="0" vertical="center"/>
    </xf>
    <xf fontId="1" fillId="18" borderId="25" numFmtId="0" xfId="0" applyFont="1" applyFill="1" applyBorder="1" applyAlignment="1">
      <alignment readingOrder="0" vertical="center"/>
    </xf>
    <xf fontId="32" fillId="17" borderId="4" numFmtId="0" xfId="0" applyFont="1" applyFill="1" applyBorder="1" applyAlignment="1">
      <alignment horizontal="center" vertical="center"/>
    </xf>
    <xf fontId="33" fillId="17" borderId="0" numFmtId="0" xfId="0" applyFont="1" applyFill="1"/>
    <xf fontId="1" fillId="17" borderId="0" numFmtId="0" xfId="0" applyFont="1" applyFill="1" applyAlignment="1">
      <alignment vertical="center"/>
    </xf>
    <xf fontId="6" fillId="17" borderId="0" numFmtId="0" xfId="0" applyFont="1" applyFill="1"/>
    <xf fontId="3" fillId="17" borderId="0" numFmtId="0" xfId="0" applyFont="1" applyFill="1" applyAlignment="1">
      <alignment vertical="center"/>
    </xf>
    <xf fontId="4" fillId="17" borderId="0" numFmtId="0" xfId="0" applyFont="1" applyFill="1" applyAlignment="1">
      <alignment vertical="center"/>
    </xf>
    <xf fontId="1" fillId="17" borderId="5" numFmtId="0" xfId="0" applyFont="1" applyFill="1" applyBorder="1" applyAlignment="1">
      <alignment vertical="center"/>
    </xf>
    <xf fontId="0" fillId="0" borderId="26" numFmtId="0" xfId="0" applyBorder="1" applyAlignment="1">
      <alignment horizontal="left" readingOrder="0" wrapText="1"/>
    </xf>
    <xf fontId="0" fillId="0" borderId="27" numFmtId="0" xfId="0" applyBorder="1" applyAlignment="1">
      <alignment horizontal="left" readingOrder="0" wrapText="1"/>
    </xf>
    <xf fontId="26" fillId="19" borderId="4" numFmtId="0" xfId="0" applyFont="1" applyFill="1" applyBorder="1" applyAlignment="1">
      <alignment horizontal="center" vertical="center"/>
    </xf>
    <xf fontId="1" fillId="19" borderId="0" numFmtId="0" xfId="0" applyFont="1" applyFill="1" applyAlignment="1">
      <alignment vertical="center"/>
    </xf>
    <xf fontId="10" fillId="19" borderId="9" numFmtId="0" xfId="0" applyFont="1" applyFill="1" applyBorder="1" applyAlignment="1">
      <alignment horizontal="center" vertical="center"/>
    </xf>
    <xf fontId="10" fillId="19" borderId="11" numFmtId="164" xfId="0" applyNumberFormat="1" applyFont="1" applyFill="1" applyBorder="1" applyAlignment="1">
      <alignment horizontal="right" vertical="center"/>
    </xf>
    <xf fontId="3" fillId="19" borderId="0" numFmtId="0" xfId="0" applyFont="1" applyFill="1" applyAlignment="1">
      <alignment vertical="center"/>
    </xf>
    <xf fontId="4" fillId="19" borderId="0" numFmtId="0" xfId="0" applyFont="1" applyFill="1" applyAlignment="1">
      <alignment vertical="center"/>
    </xf>
    <xf fontId="1" fillId="19" borderId="5" numFmtId="0" xfId="0" applyFont="1" applyFill="1" applyBorder="1" applyAlignment="1">
      <alignment vertical="center"/>
    </xf>
    <xf fontId="1" fillId="20" borderId="0" numFmtId="0" xfId="0" applyFont="1" applyFill="1" applyAlignment="1">
      <alignment vertical="center"/>
    </xf>
    <xf fontId="10" fillId="20" borderId="8" numFmtId="0" xfId="0" applyFont="1" applyFill="1" applyBorder="1" applyAlignment="1">
      <alignment horizontal="center" vertical="center"/>
    </xf>
    <xf fontId="1" fillId="20" borderId="0" numFmtId="165" xfId="0" applyNumberFormat="1" applyFont="1" applyFill="1" applyAlignment="1">
      <alignment vertical="center"/>
    </xf>
    <xf fontId="3" fillId="20" borderId="0" numFmtId="0" xfId="0" applyFont="1" applyFill="1" applyAlignment="1">
      <alignment vertical="center"/>
    </xf>
    <xf fontId="4" fillId="20" borderId="0" numFmtId="0" xfId="0" applyFont="1" applyFill="1" applyAlignment="1">
      <alignment vertical="center"/>
    </xf>
    <xf fontId="1" fillId="20" borderId="5" numFmtId="0" xfId="0" applyFont="1" applyFill="1" applyBorder="1" applyAlignment="1">
      <alignment vertical="center"/>
    </xf>
    <xf fontId="9" fillId="4" borderId="28" numFmtId="0" xfId="0" applyFont="1" applyFill="1" applyBorder="1" applyAlignment="1">
      <alignment vertical="center"/>
    </xf>
    <xf fontId="1" fillId="8" borderId="0" numFmtId="0" xfId="0" applyFont="1" applyFill="1" applyAlignment="1">
      <alignment vertical="center"/>
    </xf>
    <xf fontId="10" fillId="8" borderId="8" numFmtId="0" xfId="0" applyFont="1" applyFill="1" applyBorder="1" applyAlignment="1">
      <alignment horizontal="center" vertical="center"/>
    </xf>
    <xf fontId="1" fillId="8" borderId="0" numFmtId="165" xfId="0" applyNumberFormat="1" applyFont="1" applyFill="1" applyAlignment="1">
      <alignment vertical="center"/>
    </xf>
    <xf fontId="3" fillId="8" borderId="0" numFmtId="0" xfId="0" applyFont="1" applyFill="1" applyAlignment="1">
      <alignment vertical="center"/>
    </xf>
    <xf fontId="4" fillId="8" borderId="0" numFmtId="0" xfId="0" applyFont="1" applyFill="1" applyAlignment="1">
      <alignment vertical="center"/>
    </xf>
    <xf fontId="1" fillId="8" borderId="5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10" fillId="9" borderId="8" numFmtId="0" xfId="0" applyFont="1" applyFill="1" applyBorder="1" applyAlignment="1">
      <alignment horizontal="center" vertical="center"/>
    </xf>
    <xf fontId="10" fillId="9" borderId="0" numFmtId="165" xfId="0" applyNumberFormat="1" applyFont="1" applyFill="1" applyAlignment="1">
      <alignment horizontal="right" vertical="center"/>
    </xf>
    <xf fontId="3" fillId="9" borderId="0" numFmtId="0" xfId="0" applyFont="1" applyFill="1" applyAlignment="1">
      <alignment vertical="center"/>
    </xf>
    <xf fontId="4" fillId="9" borderId="0" numFmtId="0" xfId="0" applyFont="1" applyFill="1" applyAlignment="1">
      <alignment vertical="center"/>
    </xf>
    <xf fontId="1" fillId="9" borderId="5" numFmtId="0" xfId="0" applyFont="1" applyFill="1" applyBorder="1" applyAlignment="1">
      <alignment vertical="center"/>
    </xf>
    <xf fontId="9" fillId="6" borderId="4" numFmtId="0" xfId="0" applyFont="1" applyFill="1" applyBorder="1" applyAlignment="1">
      <alignment horizontal="center" vertical="center"/>
    </xf>
    <xf fontId="1" fillId="12" borderId="0" numFmtId="0" xfId="0" applyFont="1" applyFill="1" applyAlignment="1">
      <alignment vertical="center"/>
    </xf>
    <xf fontId="34" fillId="12" borderId="7" numFmtId="0" xfId="0" applyFont="1" applyFill="1" applyBorder="1" applyAlignment="1">
      <alignment vertical="center" wrapText="1"/>
    </xf>
    <xf fontId="10" fillId="12" borderId="8" numFmtId="0" xfId="0" applyFont="1" applyFill="1" applyBorder="1" applyAlignment="1">
      <alignment horizontal="center" vertical="center"/>
    </xf>
    <xf fontId="10" fillId="12" borderId="0" numFmtId="165" xfId="0" applyNumberFormat="1" applyFont="1" applyFill="1" applyAlignment="1">
      <alignment horizontal="right" vertical="center"/>
    </xf>
    <xf fontId="3" fillId="12" borderId="0" numFmtId="0" xfId="0" applyFont="1" applyFill="1" applyAlignment="1">
      <alignment vertical="center"/>
    </xf>
    <xf fontId="4" fillId="12" borderId="0" numFmtId="0" xfId="0" applyFont="1" applyFill="1" applyAlignment="1">
      <alignment vertical="center"/>
    </xf>
    <xf fontId="1" fillId="12" borderId="5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34" fillId="21" borderId="0" numFmtId="0" xfId="0" applyFont="1" applyFill="1" applyAlignment="1">
      <alignment vertical="center" wrapText="1"/>
    </xf>
    <xf fontId="10" fillId="21" borderId="9" numFmtId="0" xfId="0" applyFont="1" applyFill="1" applyBorder="1" applyAlignment="1">
      <alignment horizontal="center" vertical="center"/>
    </xf>
    <xf fontId="6" fillId="21" borderId="6" numFmtId="165" xfId="0" applyNumberFormat="1" applyFont="1" applyFill="1" applyBorder="1" applyAlignment="1">
      <alignment vertical="center"/>
    </xf>
    <xf fontId="16" fillId="21" borderId="7" numFmtId="0" xfId="0" applyFont="1" applyFill="1" applyBorder="1" applyAlignment="1">
      <alignment horizontal="left" vertical="center"/>
    </xf>
    <xf fontId="10" fillId="21" borderId="8" numFmtId="0" xfId="0" applyFont="1" applyFill="1" applyBorder="1" applyAlignment="1">
      <alignment horizontal="center" vertical="center"/>
    </xf>
    <xf fontId="6" fillId="21" borderId="0" numFmtId="165" xfId="0" applyNumberFormat="1" applyFont="1" applyFill="1" applyAlignment="1">
      <alignment vertical="center"/>
    </xf>
    <xf fontId="1" fillId="22" borderId="0" numFmtId="0" xfId="0" applyFont="1" applyFill="1" applyAlignment="1">
      <alignment vertical="center"/>
    </xf>
    <xf fontId="16" fillId="22" borderId="0" numFmtId="0" xfId="0" applyFont="1" applyFill="1" applyAlignment="1">
      <alignment horizontal="left" vertical="center"/>
    </xf>
    <xf fontId="10" fillId="22" borderId="8" numFmtId="0" xfId="0" applyFont="1" applyFill="1" applyBorder="1" applyAlignment="1">
      <alignment horizontal="center" vertical="center"/>
    </xf>
    <xf fontId="6" fillId="22" borderId="0" numFmtId="165" xfId="0" applyNumberFormat="1" applyFont="1" applyFill="1" applyAlignment="1">
      <alignment vertical="center"/>
    </xf>
    <xf fontId="3" fillId="22" borderId="0" numFmtId="0" xfId="0" applyFont="1" applyFill="1" applyAlignment="1">
      <alignment vertical="center"/>
    </xf>
    <xf fontId="4" fillId="22" borderId="0" numFmtId="0" xfId="0" applyFont="1" applyFill="1" applyAlignment="1">
      <alignment vertical="center"/>
    </xf>
    <xf fontId="1" fillId="22" borderId="5" numFmtId="0" xfId="0" applyFont="1" applyFill="1" applyBorder="1" applyAlignment="1">
      <alignment vertical="center"/>
    </xf>
    <xf fontId="6" fillId="22" borderId="6" numFmtId="0" xfId="0" applyFont="1" applyFill="1" applyBorder="1" applyAlignment="1">
      <alignment vertical="center" wrapText="1"/>
    </xf>
    <xf fontId="6" fillId="22" borderId="0" numFmtId="0" xfId="0" applyFont="1" applyFill="1" applyAlignment="1">
      <alignment vertical="center" wrapText="1"/>
    </xf>
    <xf fontId="6" fillId="16" borderId="0" numFmtId="0" xfId="0" applyFont="1" applyFill="1" applyAlignment="1">
      <alignment vertical="center" wrapText="1"/>
    </xf>
    <xf fontId="10" fillId="16" borderId="8" numFmtId="0" xfId="0" applyFont="1" applyFill="1" applyBorder="1" applyAlignment="1">
      <alignment horizontal="center" vertical="center"/>
    </xf>
    <xf fontId="3" fillId="16" borderId="0" numFmtId="0" xfId="0" applyFont="1" applyFill="1" applyAlignment="1">
      <alignment vertical="center"/>
    </xf>
    <xf fontId="4" fillId="16" borderId="0" numFmtId="0" xfId="0" applyFont="1" applyFill="1" applyAlignment="1">
      <alignment vertical="center"/>
    </xf>
    <xf fontId="1" fillId="16" borderId="5" numFmtId="0" xfId="0" applyFont="1" applyFill="1" applyBorder="1" applyAlignment="1">
      <alignment vertical="center"/>
    </xf>
    <xf fontId="26" fillId="6" borderId="4" numFmtId="0" xfId="0" applyFont="1" applyFill="1" applyBorder="1" applyAlignment="1">
      <alignment vertical="center"/>
    </xf>
    <xf fontId="16" fillId="16" borderId="0" numFmtId="0" xfId="0" applyFont="1" applyFill="1" applyAlignment="1">
      <alignment horizontal="left" readingOrder="0" vertical="center"/>
    </xf>
    <xf fontId="6" fillId="16" borderId="0" numFmtId="0" xfId="0" applyFont="1" applyFill="1" applyAlignment="1">
      <alignment readingOrder="0" vertical="center" wrapText="1"/>
    </xf>
    <xf fontId="10" fillId="13" borderId="8" numFmtId="0" xfId="0" applyFont="1" applyFill="1" applyBorder="1" applyAlignment="1">
      <alignment horizontal="center" vertical="center"/>
    </xf>
    <xf fontId="26" fillId="6" borderId="29" numFmtId="0" xfId="0" applyFont="1" applyFill="1" applyBorder="1" applyAlignment="1">
      <alignment vertical="center"/>
    </xf>
    <xf fontId="16" fillId="16" borderId="24" numFmtId="0" xfId="0" applyFont="1" applyFill="1" applyBorder="1" applyAlignment="1">
      <alignment horizontal="left" readingOrder="0" vertical="center"/>
    </xf>
    <xf fontId="6" fillId="16" borderId="24" numFmtId="0" xfId="0" applyFont="1" applyFill="1" applyBorder="1" applyAlignment="1">
      <alignment readingOrder="0" vertical="center" wrapText="1"/>
    </xf>
    <xf fontId="1" fillId="16" borderId="24" numFmtId="0" xfId="0" applyFont="1" applyFill="1" applyBorder="1" applyAlignment="1">
      <alignment vertical="center"/>
    </xf>
    <xf fontId="1" fillId="16" borderId="24" numFmtId="0" xfId="0" applyFont="1" applyFill="1" applyBorder="1" applyAlignment="1">
      <alignment readingOrder="0" vertical="center"/>
    </xf>
    <xf fontId="3" fillId="16" borderId="24" numFmtId="0" xfId="0" applyFont="1" applyFill="1" applyBorder="1" applyAlignment="1">
      <alignment readingOrder="0" vertical="center"/>
    </xf>
    <xf fontId="4" fillId="16" borderId="24" numFmtId="0" xfId="0" applyFont="1" applyFill="1" applyBorder="1" applyAlignment="1">
      <alignment readingOrder="0" vertical="center"/>
    </xf>
    <xf fontId="1" fillId="16" borderId="25" numFmtId="0" xfId="0" applyFont="1" applyFill="1" applyBorder="1" applyAlignment="1">
      <alignment readingOrder="0" vertical="center"/>
    </xf>
    <xf fontId="1" fillId="6" borderId="0" numFmtId="0" xfId="0" applyFont="1" applyFill="1" applyAlignment="1">
      <alignment readingOrder="0" vertical="center"/>
    </xf>
    <xf fontId="1" fillId="6" borderId="0" numFmtId="0" xfId="0" applyFont="1" applyFill="1" applyAlignment="1">
      <alignment vertical="center"/>
    </xf>
    <xf fontId="1" fillId="6" borderId="0" numFmtId="164" xfId="0" applyNumberFormat="1" applyFont="1" applyFill="1" applyAlignment="1">
      <alignment vertical="center"/>
    </xf>
    <xf fontId="3" fillId="6" borderId="0" numFmtId="0" xfId="0" applyFont="1" applyFill="1" applyAlignment="1">
      <alignment readingOrder="0" vertical="center"/>
    </xf>
    <xf fontId="4" fillId="6" borderId="0" numFmtId="0" xfId="0" applyFont="1" applyFill="1" applyAlignment="1">
      <alignment readingOrder="0" vertical="center"/>
    </xf>
    <xf fontId="1" fillId="6" borderId="5" numFmtId="0" xfId="0" applyFont="1" applyFill="1" applyBorder="1" applyAlignment="1">
      <alignment readingOrder="0" vertical="center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10" fillId="23" borderId="9" numFmtId="0" xfId="0" applyFont="1" applyFill="1" applyBorder="1" applyAlignment="1">
      <alignment horizontal="center" vertical="center"/>
    </xf>
    <xf fontId="10" fillId="23" borderId="30" numFmtId="165" xfId="0" applyNumberFormat="1" applyFont="1" applyFill="1" applyBorder="1" applyAlignment="1">
      <alignment horizontal="right" vertical="center"/>
    </xf>
    <xf fontId="3" fillId="23" borderId="0" numFmtId="0" xfId="0" applyFont="1" applyFill="1" applyAlignment="1">
      <alignment readingOrder="0" vertical="center"/>
    </xf>
    <xf fontId="4" fillId="23" borderId="0" numFmtId="0" xfId="0" applyFont="1" applyFill="1" applyAlignment="1">
      <alignment readingOrder="0" vertical="center"/>
    </xf>
    <xf fontId="1" fillId="23" borderId="5" numFmtId="0" xfId="0" applyFont="1" applyFill="1" applyBorder="1" applyAlignment="1">
      <alignment readingOrder="0" vertical="center"/>
    </xf>
    <xf fontId="10" fillId="23" borderId="31" numFmtId="165" xfId="0" applyNumberFormat="1" applyFont="1" applyFill="1" applyBorder="1" applyAlignment="1">
      <alignment horizontal="right" vertical="center"/>
    </xf>
    <xf fontId="35" fillId="4" borderId="4" numFmtId="0" xfId="0" applyFont="1" applyFill="1" applyBorder="1" applyAlignment="1">
      <alignment horizontal="left" vertical="center"/>
    </xf>
    <xf fontId="10" fillId="8" borderId="0" numFmtId="165" xfId="0" applyNumberFormat="1" applyFont="1" applyFill="1" applyAlignment="1">
      <alignment horizontal="right" readingOrder="0" vertical="center"/>
    </xf>
    <xf fontId="35" fillId="6" borderId="4" numFmtId="0" xfId="0" applyFont="1" applyFill="1" applyBorder="1" applyAlignment="1">
      <alignment horizontal="left" vertical="center"/>
    </xf>
    <xf fontId="36" fillId="6" borderId="4" numFmtId="0" xfId="0" applyFont="1" applyFill="1" applyBorder="1" applyAlignment="1">
      <alignment horizontal="left" vertical="center"/>
    </xf>
    <xf fontId="6" fillId="9" borderId="6" numFmtId="0" xfId="0" applyFont="1" applyFill="1" applyBorder="1" applyAlignment="1">
      <alignment horizontal="center" vertical="center" wrapText="1"/>
    </xf>
    <xf fontId="19" fillId="4" borderId="0" numFmtId="0" xfId="0" applyFont="1" applyFill="1" applyAlignment="1">
      <alignment vertical="center"/>
    </xf>
    <xf fontId="36" fillId="4" borderId="0" numFmtId="0" xfId="0" applyFont="1" applyFill="1" applyAlignment="1">
      <alignment horizontal="left" vertical="center"/>
    </xf>
    <xf fontId="6" fillId="9" borderId="6" numFmtId="0" xfId="0" applyFont="1" applyFill="1" applyBorder="1" applyAlignment="1">
      <alignment horizontal="center" vertical="center"/>
    </xf>
    <xf fontId="6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3" fillId="22" borderId="0" numFmtId="0" xfId="0" applyFont="1" applyFill="1" applyAlignment="1">
      <alignment readingOrder="0" vertical="center"/>
    </xf>
    <xf fontId="4" fillId="22" borderId="0" numFmtId="0" xfId="0" applyFont="1" applyFill="1" applyAlignment="1">
      <alignment readingOrder="0" vertical="center"/>
    </xf>
    <xf fontId="1" fillId="22" borderId="5" numFmtId="0" xfId="0" applyFont="1" applyFill="1" applyBorder="1" applyAlignment="1">
      <alignment readingOrder="0" vertical="center"/>
    </xf>
    <xf fontId="6" fillId="22" borderId="0" numFmtId="0" xfId="0" applyFont="1" applyFill="1" applyAlignment="1">
      <alignment horizontal="center" readingOrder="0" vertical="center" wrapText="1"/>
    </xf>
    <xf fontId="6" fillId="22" borderId="0" numFmtId="0" xfId="0" applyFont="1" applyFill="1" applyAlignment="1">
      <alignment horizontal="center" vertical="center" wrapText="1"/>
    </xf>
    <xf fontId="6" fillId="16" borderId="6" numFmtId="0" xfId="0" applyFont="1" applyFill="1" applyBorder="1"/>
    <xf fontId="6" fillId="16" borderId="0" numFmtId="0" xfId="0" applyFont="1" applyFill="1" applyAlignment="1">
      <alignment readingOrder="0"/>
    </xf>
    <xf fontId="37" fillId="8" borderId="4" numFmtId="0" xfId="0" applyFont="1" applyFill="1" applyBorder="1" applyAlignment="1">
      <alignment vertical="center"/>
    </xf>
    <xf fontId="6" fillId="8" borderId="0" numFmtId="0" xfId="0" applyFont="1" applyFill="1" applyAlignment="1">
      <alignment readingOrder="0"/>
    </xf>
    <xf fontId="16" fillId="8" borderId="0" numFmtId="0" xfId="0" applyFont="1" applyFill="1" applyAlignment="1">
      <alignment horizontal="left" vertical="center"/>
    </xf>
    <xf fontId="1" fillId="6" borderId="24" numFmtId="0" xfId="0" applyFont="1" applyFill="1" applyBorder="1" applyAlignment="1">
      <alignment readingOrder="0" vertical="center"/>
    </xf>
    <xf fontId="6" fillId="8" borderId="24" numFmtId="0" xfId="0" applyFont="1" applyFill="1" applyBorder="1" applyAlignment="1">
      <alignment readingOrder="0"/>
    </xf>
    <xf fontId="1" fillId="8" borderId="24" numFmtId="0" xfId="0" applyFont="1" applyFill="1" applyBorder="1" applyAlignment="1">
      <alignment vertical="center"/>
    </xf>
    <xf fontId="37" fillId="8" borderId="29" numFmtId="0" xfId="0" applyFont="1" applyFill="1" applyBorder="1" applyAlignment="1">
      <alignment vertical="center"/>
    </xf>
    <xf fontId="1" fillId="0" borderId="0" numFmtId="0" xfId="0" applyFont="1"/>
    <xf fontId="1" fillId="0" borderId="0" numFmtId="0" xfId="0" applyFont="1" applyAlignment="1">
      <alignment readingOrder="0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5B3F86"/>
          <bgColor rgb="FF5B3F86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F8F9FA"/>
          <bgColor rgb="FFF8F9FA"/>
        </patternFill>
      </fill>
      <border>
        <left style="none"/>
        <right style="none"/>
        <top style="none"/>
        <bottom style="none"/>
        <diagonal style="none"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 style="none"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QP3JiJ97FtkwOUsPS27KGWckg_iRo6x/view?usp=drivesdk" TargetMode="External"/><Relationship  Id="rId10" Type="http://schemas.openxmlformats.org/officeDocument/2006/relationships/hyperlink" Target="https://drive.google.com/file/d/1YkZnJ4ro9JhZ5rUfvkQkMML_CVT19In0/view?usp=drivesdk" TargetMode="External"/><Relationship  Id="rId100" Type="http://schemas.openxmlformats.org/officeDocument/2006/relationships/hyperlink" Target="https://drive.google.com/file/d/105-QhKB7SxVwH-i8aI5tkY90mCCnIbgd/view?usp=drivesdk" TargetMode="External"/><Relationship  Id="rId101" Type="http://schemas.openxmlformats.org/officeDocument/2006/relationships/hyperlink" Target="https://drive.google.com/file/d/1Ci6gX4DhTeaN3lv6rFflMw_wYSnTiY81/view?usp=drivesdk" TargetMode="External"/><Relationship  Id="rId102" Type="http://schemas.openxmlformats.org/officeDocument/2006/relationships/hyperlink" Target="https://drive.google.com/file/d/1Pc2Shp8slJ6TTKOosefze2Z43Rw07rMy/view?usp=drivesdk" TargetMode="External"/><Relationship  Id="rId103" Type="http://schemas.openxmlformats.org/officeDocument/2006/relationships/hyperlink" Target="https://drive.google.com/file/d/1z_Qx9A41Tkf6yv9z2EzIgWlO9_K4viuJ/view?usp=drivesdk" TargetMode="External"/><Relationship  Id="rId104" Type="http://schemas.openxmlformats.org/officeDocument/2006/relationships/hyperlink" Target="https://drive.google.com/file/d/1E1NVMt8osHQ0bpn-6kcqyVvSiIJJLAn8/view?usp=drivesdk" TargetMode="External"/><Relationship  Id="rId105" Type="http://schemas.openxmlformats.org/officeDocument/2006/relationships/hyperlink" Target="https://drive.google.com/file/d/1wOn8cDcFSPtvjj8H3m-sSDYbUCmQSEeE/view?usp=drivesdk" TargetMode="External"/><Relationship  Id="rId106" Type="http://schemas.openxmlformats.org/officeDocument/2006/relationships/hyperlink" Target="https://drive.google.com/file/d/1BZhBcOgMsscdDhIgSbtj1KQMQPwyap06/view?usp=drivesdk" TargetMode="External"/><Relationship  Id="rId107" Type="http://schemas.openxmlformats.org/officeDocument/2006/relationships/hyperlink" Target="https://drive.google.com/file/d/1w4fFHI5u6AOANZJGRfSg5YbkWVXPTN8s/view?usp=drivesdk" TargetMode="External"/><Relationship  Id="rId108" Type="http://schemas.openxmlformats.org/officeDocument/2006/relationships/hyperlink" Target="https://drive.google.com/file/d/14EOvKBbcCH4fCkc47aly1-CyueCGYV7E/view?usp=drivesdk" TargetMode="External"/><Relationship  Id="rId109" Type="http://schemas.openxmlformats.org/officeDocument/2006/relationships/hyperlink" Target="https://drive.google.com/file/d/1WvyFA2gBhDgfesew7cryv5FJ4g-s8YeA/view?usp=drivesdk" TargetMode="External"/><Relationship  Id="rId11" Type="http://schemas.openxmlformats.org/officeDocument/2006/relationships/hyperlink" Target="https://drive.google.com/file/d/11JU-V0FKj7GE9x_svf3Zfd9rU_p2E5J5/view?usp=drivesdk" TargetMode="External"/><Relationship  Id="rId110" Type="http://schemas.openxmlformats.org/officeDocument/2006/relationships/hyperlink" Target="https://drive.google.com/file/d/1rWv-YrjXxlRLEz3JyOidnmbW2aWmx3ns/view?usp=drivesdk" TargetMode="External"/><Relationship  Id="rId111" Type="http://schemas.openxmlformats.org/officeDocument/2006/relationships/hyperlink" Target="https://drive.google.com/file/d/1yxAjCpcuQqbAXC2zEjfcIy9hA3SgyC-P/view?usp=drivesdk" TargetMode="External"/><Relationship  Id="rId112" Type="http://schemas.openxmlformats.org/officeDocument/2006/relationships/hyperlink" Target="https://drive.google.com/file/d/1A-fmuN1rxnpghd9Kc815xUH2c9XQxEk0/view?usp=drivesdk" TargetMode="External"/><Relationship  Id="rId113" Type="http://schemas.openxmlformats.org/officeDocument/2006/relationships/hyperlink" Target="https://drive.google.com/file/d/1LYiLZYjsimo6DOgo_JaPQVxmWJN2eWB0/view?usp=drivesdk" TargetMode="External"/><Relationship  Id="rId114" Type="http://schemas.openxmlformats.org/officeDocument/2006/relationships/hyperlink" Target="https://drive.google.com/file/d/1WM7qpY2g_bnyb-dNwHD4Zilc2MsaEM68/view?usp=drivesdk" TargetMode="External"/><Relationship  Id="rId115" Type="http://schemas.openxmlformats.org/officeDocument/2006/relationships/hyperlink" Target="https://drive.google.com/file/d/19BswsiSvaEuXk2hAxllkLDiP3bjDKxTo/view?usp=drivesdk" TargetMode="External"/><Relationship  Id="rId116" Type="http://schemas.openxmlformats.org/officeDocument/2006/relationships/hyperlink" Target="https://drive.google.com/file/d/1DGDRY4UikR6wvPBJZVCoPAdN9xmI5GcK/view?usp=drivesdk" TargetMode="External"/><Relationship  Id="rId117" Type="http://schemas.openxmlformats.org/officeDocument/2006/relationships/hyperlink" Target="https://drive.google.com/file/d/1NYEQ3baCCWOPoF6s0fwbBj8I0X0lz4KG/view?usp=drivesdk" TargetMode="External"/><Relationship  Id="rId118" Type="http://schemas.openxmlformats.org/officeDocument/2006/relationships/hyperlink" Target="https://drive.google.com/file/d/1t7V2P8UgGK95cEustX0-ONDJ598S__AA/view?usp=drivesdk" TargetMode="External"/><Relationship  Id="rId119" Type="http://schemas.openxmlformats.org/officeDocument/2006/relationships/hyperlink" Target="https://drive.google.com/file/d/1YebmPeo01FNlp0OqGslRX134vfy1n4g2/view?usp=drivesdk" TargetMode="External"/><Relationship  Id="rId12" Type="http://schemas.openxmlformats.org/officeDocument/2006/relationships/hyperlink" Target="https://drive.google.com/file/d/1pai4CI2hhtKUL-IUqV0Yh4owP9umVJUg/view?usp=drivesdk" TargetMode="External"/><Relationship  Id="rId120" Type="http://schemas.openxmlformats.org/officeDocument/2006/relationships/hyperlink" Target="https://drive.google.com/file/d/1QJIBQSDLV-eh_g3FmCztpMP81HVoekFd/view?usp=drivesdk" TargetMode="External"/><Relationship  Id="rId121" Type="http://schemas.openxmlformats.org/officeDocument/2006/relationships/hyperlink" Target="https://drive.google.com/file/d/1AMpsAEoGxXR8JxtM_ncYVBFgfSO5UF3n/view?usp=drivesdk" TargetMode="External"/><Relationship  Id="rId122" Type="http://schemas.openxmlformats.org/officeDocument/2006/relationships/hyperlink" Target="https://drive.google.com/file/d/1fXY4rBiJD5ZTm_QsSw2BrMnzI_Qyux0m/view?usp=drivesdk" TargetMode="External"/><Relationship  Id="rId123" Type="http://schemas.openxmlformats.org/officeDocument/2006/relationships/hyperlink" Target="https://drive.google.com/file/d/1QbcMJ8KZ1JNUItQnzCtzxl-uPKkhLmVn/view?usp=drivesdk" TargetMode="External"/><Relationship  Id="rId124" Type="http://schemas.openxmlformats.org/officeDocument/2006/relationships/hyperlink" Target="https://drive.google.com/file/d/1pPobSkz5KpPAyDAZv770KFxzQxJqnB5I/view?usp=drivesdk" TargetMode="External"/><Relationship  Id="rId125" Type="http://schemas.openxmlformats.org/officeDocument/2006/relationships/hyperlink" Target="https://drive.google.com/file/d/1MwctWHdwCn0jiQUO8b-ZIeWlm0XIsTi0/view?usp=drivesdk" TargetMode="External"/><Relationship  Id="rId126" Type="http://schemas.openxmlformats.org/officeDocument/2006/relationships/hyperlink" Target="https://drive.google.com/file/d/1JVmHJ10YrhJJgxfIjh-2UHO61NgTr8cE/view?usp=drivesdk" TargetMode="External"/><Relationship  Id="rId127" Type="http://schemas.openxmlformats.org/officeDocument/2006/relationships/hyperlink" Target="https://drive.google.com/file/d/14ZUu-iBafKfa9HtxICkSM_1W7rVeVmbI/view?usp=drivesdk" TargetMode="External"/><Relationship  Id="rId128" Type="http://schemas.openxmlformats.org/officeDocument/2006/relationships/hyperlink" Target="https://drive.google.com/file/d/1m6huuxPftcWupVJGWKiU6UaqPlZkJAVM/view?usp=drivesdk" TargetMode="External"/><Relationship  Id="rId129" Type="http://schemas.openxmlformats.org/officeDocument/2006/relationships/hyperlink" Target="https://drive.google.com/file/d/1RwrhmEsZiSnh1ZFRcHppbLSJmj7fOiSH/view?usp=drivesdk" TargetMode="External"/><Relationship  Id="rId13" Type="http://schemas.openxmlformats.org/officeDocument/2006/relationships/hyperlink" Target="https://drive.google.com/file/d/1p5WBdZuOA21rpQiHGMUa0ZE03zMqZXhv/view?usp=drivesdk" TargetMode="External"/><Relationship  Id="rId130" Type="http://schemas.openxmlformats.org/officeDocument/2006/relationships/hyperlink" Target="https://drive.google.com/file/d/17D0s87dfdhpwupAtE_yzaeq9DTQhXC7O/view?usp=drivesdk" TargetMode="External"/><Relationship  Id="rId131" Type="http://schemas.openxmlformats.org/officeDocument/2006/relationships/hyperlink" Target="https://drive.google.com/file/d/1ueELZbY7WSH-8sB2LFS2A4GCbq2slcWf/view?usp=drivesdk" TargetMode="External"/><Relationship  Id="rId132" Type="http://schemas.openxmlformats.org/officeDocument/2006/relationships/hyperlink" Target="https://drive.google.com/file/d/1lioc6XSL-X_lWpXOhDbl8TNWjZydlg3Z/view?usp=drivesdk" TargetMode="External"/><Relationship  Id="rId133" Type="http://schemas.openxmlformats.org/officeDocument/2006/relationships/hyperlink" Target="https://drive.google.com/file/d/1q1jXXZQSy6LlwQTAHH807YDPNzM8u3nh/view?usp=drivesdk" TargetMode="External"/><Relationship  Id="rId134" Type="http://schemas.openxmlformats.org/officeDocument/2006/relationships/hyperlink" Target="https://drive.google.com/file/d/1tKhR0H6qkNYOMfQTfMqgSvYOfaOm5D9j/view?usp=drivesdk" TargetMode="External"/><Relationship  Id="rId135" Type="http://schemas.openxmlformats.org/officeDocument/2006/relationships/hyperlink" Target="https://drive.google.com/file/d/1tbkZCQWjKjAqvtIWvC_DW5eDPli0AMJ-/view?usp=drivesdk" TargetMode="External"/><Relationship  Id="rId136" Type="http://schemas.openxmlformats.org/officeDocument/2006/relationships/hyperlink" Target="https://drive.google.com/file/d/1_FZysDn8oCxFLSBzjIZ_veZjlGJbc-rD/view?usp=drivesdk" TargetMode="External"/><Relationship  Id="rId137" Type="http://schemas.openxmlformats.org/officeDocument/2006/relationships/hyperlink" Target="https://drive.google.com/file/d/1DRK7xrpapV8UrPzS_5-CtcdLiOHgx5sL/view?usp=drivesdk" TargetMode="External"/><Relationship  Id="rId138" Type="http://schemas.openxmlformats.org/officeDocument/2006/relationships/hyperlink" Target="https://drive.google.com/file/d/13CaKV4w0V0yAOhxbarLx0vWiB06KvCtQ/view?usp=drivesdk" TargetMode="External"/><Relationship  Id="rId139" Type="http://schemas.openxmlformats.org/officeDocument/2006/relationships/hyperlink" Target="https://drive.google.com/file/d/195erdB_CwDviiWwmdSiNrAUoRaCmyoj2/view?usp=drivesdk" TargetMode="External"/><Relationship  Id="rId14" Type="http://schemas.openxmlformats.org/officeDocument/2006/relationships/hyperlink" Target="https://drive.google.com/file/d/1DTlcTiht5Ouj5MUwgm0iefzbMjtGECoI/view?usp=drivesdk" TargetMode="External"/><Relationship  Id="rId140" Type="http://schemas.openxmlformats.org/officeDocument/2006/relationships/hyperlink" Target="https://drive.google.com/file/d/1lehOWZv_GRvuIdWwb5xZrjJeNcR9WexZ/view?usp=drivesdk" TargetMode="External"/><Relationship  Id="rId141" Type="http://schemas.openxmlformats.org/officeDocument/2006/relationships/hyperlink" Target="https://drive.google.com/file/d/1P9TnjPethC4iYtxx3uiVTGKYwZHvsLz3/view?usp=drivesdk" TargetMode="External"/><Relationship  Id="rId142" Type="http://schemas.openxmlformats.org/officeDocument/2006/relationships/hyperlink" Target="https://drive.google.com/file/d/10nVHb9v4QE0_S8c0JC3JLXIvxVneLoHF/view?usp=drivesdk" TargetMode="External"/><Relationship  Id="rId143" Type="http://schemas.openxmlformats.org/officeDocument/2006/relationships/hyperlink" Target="https://drive.google.com/file/d/1AQpA5X_OxE6fBo07x_yvzQ8FWWRooqmK/view?usp=drivesdk" TargetMode="External"/><Relationship  Id="rId144" Type="http://schemas.openxmlformats.org/officeDocument/2006/relationships/hyperlink" Target="https://drive.google.com/file/d/1q6kzZAsVlVhLCXzTWON1N4_PoHuN753E/view?usp=drivesdk" TargetMode="External"/><Relationship  Id="rId145" Type="http://schemas.openxmlformats.org/officeDocument/2006/relationships/hyperlink" Target="https://drive.google.com/file/d/1EaUrbmovKv6-iNI2MYjExzamEd1k6J3j/view?usp=drivesdk" TargetMode="External"/><Relationship  Id="rId146" Type="http://schemas.openxmlformats.org/officeDocument/2006/relationships/hyperlink" Target="https://drive.google.com/file/d/12k4cUMVgaYhljNI1GFkxd1BoBQv4OjmZ/view?usp=drivesdk" TargetMode="External"/><Relationship  Id="rId147" Type="http://schemas.openxmlformats.org/officeDocument/2006/relationships/hyperlink" Target="https://drive.google.com/file/d/1LuN56hTTln3crhEFROVZlgWGd_FP4421/view?usp=drivesdk" TargetMode="External"/><Relationship  Id="rId148" Type="http://schemas.openxmlformats.org/officeDocument/2006/relationships/hyperlink" Target="https://drive.google.com/file/d/1uKL0ufmuuBXJBXH9ebVgtSnqgnShzwkQ/view?usp=drivesdk" TargetMode="External"/><Relationship  Id="rId149" Type="http://schemas.openxmlformats.org/officeDocument/2006/relationships/hyperlink" Target="https://drive.google.com/file/d/1CPYrpZYs80zI_8cyJ5KM6pSeVBGHia03/view?usp=drivesdk" TargetMode="External"/><Relationship  Id="rId15" Type="http://schemas.openxmlformats.org/officeDocument/2006/relationships/hyperlink" Target="https://drive.google.com/file/d/13euunsFUSRbNUSAV1bdCB1UN_oSxKwcq/view?usp=drivesdk" TargetMode="External"/><Relationship  Id="rId150" Type="http://schemas.openxmlformats.org/officeDocument/2006/relationships/hyperlink" Target="https://drive.google.com/file/d/10pXev038AR5ZijeuLmBVI_1cH0snvaa-/view?usp=drivesdk" TargetMode="External"/><Relationship  Id="rId151" Type="http://schemas.openxmlformats.org/officeDocument/2006/relationships/hyperlink" Target="https://drive.google.com/file/d/1OhqOt2_3mEGRf99wec1ZQM9qEpht2NFH/view?usp=drivesdk" TargetMode="External"/><Relationship  Id="rId152" Type="http://schemas.openxmlformats.org/officeDocument/2006/relationships/hyperlink" Target="https://drive.google.com/file/d/1eeVS5heDNIk5JXFInogJszBBsYoA6m2h/view?usp=drivesdk" TargetMode="External"/><Relationship  Id="rId153" Type="http://schemas.openxmlformats.org/officeDocument/2006/relationships/hyperlink" Target="https://drive.google.com/file/d/1TwPsgwy03_frirytlBvtZ8JpEyPeKIMF/view?usp=drivesdk" TargetMode="External"/><Relationship  Id="rId154" Type="http://schemas.openxmlformats.org/officeDocument/2006/relationships/hyperlink" Target="https://drive.google.com/file/d/1MWdY09w2IQtisJkGLvIcjboGysTjRvKC/view?usp=drivesdk" TargetMode="External"/><Relationship  Id="rId155" Type="http://schemas.openxmlformats.org/officeDocument/2006/relationships/hyperlink" Target="https://drive.google.com/file/d/1KcwvvvDB7CKlB4-eJH-YTf5wA00SdYyJ/view?usp=drivesdk" TargetMode="External"/><Relationship  Id="rId156" Type="http://schemas.openxmlformats.org/officeDocument/2006/relationships/hyperlink" Target="https://drive.google.com/file/d/1TXZkiaoDXxtsNyzABbMrK9jRynf0Ini8/view?usp=drivesdk" TargetMode="External"/><Relationship  Id="rId157" Type="http://schemas.openxmlformats.org/officeDocument/2006/relationships/hyperlink" Target="https://drive.google.com/file/d/1QcsW-yrrKZLEFt-tva7I473uwS4OkBLR/view?usp=drivesdk" TargetMode="External"/><Relationship  Id="rId158" Type="http://schemas.openxmlformats.org/officeDocument/2006/relationships/hyperlink" Target="https://drive.google.com/file/d/1C_peDq2Xab0Wf_dm-9yMf1GjpGb-QRUb/view?usp=drivesdk" TargetMode="External"/><Relationship  Id="rId159" Type="http://schemas.openxmlformats.org/officeDocument/2006/relationships/hyperlink" Target="https://drive.google.com/file/d/1XNy3yXLtcrAzceIEoOGC4CLw51acxoiP/view?usp=drivesdk" TargetMode="External"/><Relationship  Id="rId16" Type="http://schemas.openxmlformats.org/officeDocument/2006/relationships/hyperlink" Target="https://drive.google.com/file/d/1Ot_S0yHVyIkjWxiopnd_MQ2TA0Q3EGoD/view?usp=drivesdk" TargetMode="External"/><Relationship  Id="rId160" Type="http://schemas.openxmlformats.org/officeDocument/2006/relationships/hyperlink" Target="https://drive.google.com/file/d/1FhPCTCYR56g15R32FgF8pX1cN3rirpmc/view?usp=drivesdk" TargetMode="External"/><Relationship  Id="rId161" Type="http://schemas.openxmlformats.org/officeDocument/2006/relationships/hyperlink" Target="https://drive.google.com/file/d/1H_kQmBARSBT7NyBU7vpDSlztgrKErIqO/view?usp=drivesdk" TargetMode="External"/><Relationship  Id="rId162" Type="http://schemas.openxmlformats.org/officeDocument/2006/relationships/hyperlink" Target="https://drive.google.com/file/d/1wxhG2NRo1DLeBOT9BjVGPm8BB5gtK4Gl/view?usp=drivesdk" TargetMode="External"/><Relationship  Id="rId163" Type="http://schemas.openxmlformats.org/officeDocument/2006/relationships/hyperlink" Target="https://drive.google.com/file/d/1f9bnps0v2NnGovbBSu4ltPYCZEcDKmih/view?usp=drivesdk" TargetMode="External"/><Relationship  Id="rId164" Type="http://schemas.openxmlformats.org/officeDocument/2006/relationships/hyperlink" Target="https://drive.google.com/file/d/1xaP73cUl_c7K6uEGh32xRmWQdWqbSyVE/view?usp=drivesdk" TargetMode="External"/><Relationship  Id="rId165" Type="http://schemas.openxmlformats.org/officeDocument/2006/relationships/hyperlink" Target="https://drive.google.com/file/d/1xxvE01SPJIFqp7AMSjeQqIrUQJwRC3D7/view?usp=drivesdk" TargetMode="External"/><Relationship  Id="rId166" Type="http://schemas.openxmlformats.org/officeDocument/2006/relationships/hyperlink" Target="https://drive.google.com/file/d/1RboTqtDHTxL25fIq0dBkeZ53lXKAzg6H/view?usp=drivesdk" TargetMode="External"/><Relationship  Id="rId167" Type="http://schemas.openxmlformats.org/officeDocument/2006/relationships/hyperlink" Target="https://drive.google.com/file/d/1hd6uGSDtyMV6mYAgH-KTCvUUjnQcJ9ri/view?usp=drivesdk" TargetMode="External"/><Relationship  Id="rId168" Type="http://schemas.openxmlformats.org/officeDocument/2006/relationships/hyperlink" Target="https://drive.google.com/file/d/1r6Xuo3r-HhKnnP5A4FJoXTmV03EFYrfv/view?usp=drivesdk" TargetMode="External"/><Relationship  Id="rId169" Type="http://schemas.openxmlformats.org/officeDocument/2006/relationships/hyperlink" Target="https://drive.google.com/file/d/1qQKuiv8OGqLYCgg85CfkrEBdwESS-a3q/view?usp=drivesdk" TargetMode="External"/><Relationship  Id="rId17" Type="http://schemas.openxmlformats.org/officeDocument/2006/relationships/hyperlink" Target="https://drive.google.com/file/d/1ZYHVRvKMlV4j3K4gMffuHS3WYuAYrJDQ/view?usp=drivesdk" TargetMode="External"/><Relationship  Id="rId170" Type="http://schemas.openxmlformats.org/officeDocument/2006/relationships/hyperlink" Target="https://drive.google.com/file/d/1eqACz7Tn6SRm8CYBNq2VHaQdGABDC_gS/view?usp=drivesdk" TargetMode="External"/><Relationship  Id="rId171" Type="http://schemas.openxmlformats.org/officeDocument/2006/relationships/hyperlink" Target="https://drive.google.com/file/d/1IMLW_rIbfSacBDPA_rfrJMi0y11hQIef/view?usp=drivesdk" TargetMode="External"/><Relationship  Id="rId172" Type="http://schemas.openxmlformats.org/officeDocument/2006/relationships/hyperlink" Target="https://drive.google.com/file/d/1SGVv5H3em0JOXPW2CrEcYycaOeAmJfzB/view?usp=drivesdk" TargetMode="External"/><Relationship  Id="rId173" Type="http://schemas.openxmlformats.org/officeDocument/2006/relationships/hyperlink" Target="https://drive.google.com/file/d/1u5EtHaOxTzcTTeInmYhoIh1D6gkI7kcu/view?usp=drivesdk" TargetMode="External"/><Relationship  Id="rId174" Type="http://schemas.openxmlformats.org/officeDocument/2006/relationships/hyperlink" Target="https://drive.google.com/file/d/1TWDWRdaeUh9n2dHWhH-iFv-jN0hUyHj3/view?usp=drivesdk" TargetMode="External"/><Relationship  Id="rId175" Type="http://schemas.openxmlformats.org/officeDocument/2006/relationships/hyperlink" Target="https://drive.google.com/file/d/1vuC4kzHeyWFP7W-5GYtB71ehxWNcQvt5/view?usp=drivesdk" TargetMode="External"/><Relationship  Id="rId176" Type="http://schemas.openxmlformats.org/officeDocument/2006/relationships/hyperlink" Target="https://drive.google.com/file/d/10PRVg2zNLsjuga83pzbkAgC2Znu1tvxS/view?usp=drivesdk" TargetMode="External"/><Relationship  Id="rId177" Type="http://schemas.openxmlformats.org/officeDocument/2006/relationships/hyperlink" Target="https://drive.google.com/file/d/18x5dP7kdnWbDENuDSn-Wiy_HeYwvamfA/view?usp=drivesdk" TargetMode="External"/><Relationship  Id="rId178" Type="http://schemas.openxmlformats.org/officeDocument/2006/relationships/hyperlink" Target="https://drive.google.com/file/d/14rn_5E34RXR3GOonyqnX8rjoadgkpUN9/view?usp=drivesdk" TargetMode="External"/><Relationship  Id="rId179" Type="http://schemas.openxmlformats.org/officeDocument/2006/relationships/hyperlink" Target="https://drive.google.com/file/d/13zp7lVDqChlg--W8QHtqwTuLPjl0nHol/view?usp=drivesdk" TargetMode="External"/><Relationship  Id="rId18" Type="http://schemas.openxmlformats.org/officeDocument/2006/relationships/hyperlink" Target="https://drive.google.com/file/d/1gssyKJmRAltP2gY55wMGZCEbn7MNMM8r/view?usp=drivesdk" TargetMode="External"/><Relationship  Id="rId180" Type="http://schemas.openxmlformats.org/officeDocument/2006/relationships/hyperlink" Target="https://drive.google.com/file/d/1Vnf_Gd689fVXahICarZhZVcdqOYwxszn/view?usp=drivesdk" TargetMode="External"/><Relationship  Id="rId181" Type="http://schemas.openxmlformats.org/officeDocument/2006/relationships/hyperlink" Target="https://drive.google.com/file/d/1rWGveXfXcSoazhYBcIGH5rM3jY5J1i_3/view?usp=drivesdk" TargetMode="External"/><Relationship  Id="rId182" Type="http://schemas.openxmlformats.org/officeDocument/2006/relationships/hyperlink" Target="https://drive.google.com/file/d/1n0IGABF2qko83ysB_gJOyDsNmc0bVinP/view?usp=drivesdk" TargetMode="External"/><Relationship  Id="rId183" Type="http://schemas.openxmlformats.org/officeDocument/2006/relationships/hyperlink" Target="https://drive.google.com/file/d/1LArfLOeCmHb5nh78KJYMNgiAhRkApOYP/view?usp=drivesdk" TargetMode="External"/><Relationship  Id="rId184" Type="http://schemas.openxmlformats.org/officeDocument/2006/relationships/hyperlink" Target="https://drive.google.com/file/d/1sOcYXh44s39vzXtjEhd1TCpvstgmjJ8X/view?usp=drivesdk" TargetMode="External"/><Relationship  Id="rId185" Type="http://schemas.openxmlformats.org/officeDocument/2006/relationships/hyperlink" Target="https://drive.google.com/file/d/1LeSZpc1l-jD57jCqonYVUJkeAJM9F4r-/view?usp=drivesdk" TargetMode="External"/><Relationship  Id="rId186" Type="http://schemas.openxmlformats.org/officeDocument/2006/relationships/hyperlink" Target="https://drive.google.com/file/d/1GTO1aw8IcrPVFnfGbrhbq2SYG7nxfiOw/view?usp=drivesdk" TargetMode="External"/><Relationship  Id="rId187" Type="http://schemas.openxmlformats.org/officeDocument/2006/relationships/hyperlink" Target="https://drive.google.com/file/d/1VF2_n-hXUqdyJkPn4OPuwo0cqKT1wYge/view?usp=drivesdk" TargetMode="External"/><Relationship  Id="rId188" Type="http://schemas.openxmlformats.org/officeDocument/2006/relationships/hyperlink" Target="https://drive.google.com/file/d/14KYbSp5deUFQaeforHKVlKUiYVh3sfQY/view?usp=drivesdk" TargetMode="External"/><Relationship  Id="rId189" Type="http://schemas.openxmlformats.org/officeDocument/2006/relationships/hyperlink" Target="https://drive.google.com/file/d/1zMiVLBtDcV13gDI3bquTeXW2YSC1thrT/view?usp=drivesdk" TargetMode="External"/><Relationship  Id="rId19" Type="http://schemas.openxmlformats.org/officeDocument/2006/relationships/hyperlink" Target="https://drive.google.com/file/d/1aIVFf4U5rWG6QA3MMo7l3TC9YhdHrM5C/view?usp=drivesdk" TargetMode="External"/><Relationship  Id="rId190" Type="http://schemas.openxmlformats.org/officeDocument/2006/relationships/hyperlink" Target="https://drive.google.com/file/d/1P-X0-kHiBQhQ-rPJ_Wpd_fqxy0BpN-c5/view?usp=drivesdk" TargetMode="External"/><Relationship  Id="rId191" Type="http://schemas.openxmlformats.org/officeDocument/2006/relationships/hyperlink" Target="https://drive.google.com/file/d/19Ng6brw4ManvAtgNkq19GI8nq2IO4iJe/view?usp=drivesdk" TargetMode="External"/><Relationship  Id="rId192" Type="http://schemas.openxmlformats.org/officeDocument/2006/relationships/hyperlink" Target="https://drive.google.com/file/d/1OSUvKkU15Cgn6BYIeVuCRz2wnCA_mU6T/view?usp=drivesdk" TargetMode="External"/><Relationship  Id="rId193" Type="http://schemas.openxmlformats.org/officeDocument/2006/relationships/hyperlink" Target="https://drive.google.com/file/d/1JsQcL6eJ6M3-L_1lMltLYevoD91O36pF/view?usp=drivesdk" TargetMode="External"/><Relationship  Id="rId194" Type="http://schemas.openxmlformats.org/officeDocument/2006/relationships/hyperlink" Target="https://drive.google.com/file/d/1xhgosKNRhaFRYUZkzU0zJFlmoUUsd-FG/view?usp=drivesdk" TargetMode="External"/><Relationship  Id="rId195" Type="http://schemas.openxmlformats.org/officeDocument/2006/relationships/hyperlink" Target="https://drive.google.com/file/d/1WADXewh_9wBigkLFUh24uDT7xdOdxYuA/view?usp=drivesdk" TargetMode="External"/><Relationship  Id="rId196" Type="http://schemas.openxmlformats.org/officeDocument/2006/relationships/hyperlink" Target="https://drive.google.com/file/d/1GBMWk_-sP33Nsu03rXBCjlVqeciUQtb-/view?usp=drivesdk" TargetMode="External"/><Relationship  Id="rId197" Type="http://schemas.openxmlformats.org/officeDocument/2006/relationships/hyperlink" Target="https://drive.google.com/file/d/1LdMgNY7PAaguHSQ1sUetDXc569cCpRSd/view?usp=drivesdk" TargetMode="External"/><Relationship  Id="rId198" Type="http://schemas.openxmlformats.org/officeDocument/2006/relationships/hyperlink" Target="https://drive.google.com/file/d/1fU34W5S8POAFrtdM_bakKLLxy9ql4ZOF/view?usp=drivesdk" TargetMode="External"/><Relationship  Id="rId199" Type="http://schemas.openxmlformats.org/officeDocument/2006/relationships/hyperlink" Target="https://drive.google.com/file/d/1MmYPUpjGD1lLpWB6j2aDKw6Q1_-J3x2X/view?usp=drivesdk" TargetMode="External"/><Relationship  Id="rId2" Type="http://schemas.openxmlformats.org/officeDocument/2006/relationships/hyperlink" Target="https://drive.google.com/file/d/1PuBg2d5StBYpYwuPsw6KcV7FCR_YQpHQ/view?usp=drivesdk" TargetMode="External"/><Relationship  Id="rId20" Type="http://schemas.openxmlformats.org/officeDocument/2006/relationships/hyperlink" Target="https://drive.google.com/file/d/1URAOFXnwwHVX-kVGUCsjFuGQKNnK9BYY/view?usp=drivesdk" TargetMode="External"/><Relationship  Id="rId200" Type="http://schemas.openxmlformats.org/officeDocument/2006/relationships/hyperlink" Target="https://drive.google.com/file/d/1nM7m0r4_3LIkNwu-8klnGEafQAQDQx3N/view?usp=drivesdk" TargetMode="External"/><Relationship  Id="rId201" Type="http://schemas.openxmlformats.org/officeDocument/2006/relationships/hyperlink" Target="https://drive.google.com/file/d/1i9fctB4ExLr1NP_qkiL9-dK3XBzjWCff/view?usp=drivesdk" TargetMode="External"/><Relationship  Id="rId202" Type="http://schemas.openxmlformats.org/officeDocument/2006/relationships/hyperlink" Target="https://drive.google.com/file/d/1F44P0RyO2Tuf7J8AMB4ZH8nNG0uXIF9p/view?usp=drivesdk" TargetMode="External"/><Relationship  Id="rId203" Type="http://schemas.openxmlformats.org/officeDocument/2006/relationships/hyperlink" Target="https://drive.google.com/file/d/1NpM516V7kw5uAuzLr8uLefOr8Hkp0Ibz/view?usp=drivesdk" TargetMode="External"/><Relationship  Id="rId204" Type="http://schemas.openxmlformats.org/officeDocument/2006/relationships/hyperlink" Target="https://drive.google.com/file/d/1hES5asLKXrO3vUyrMhU4yn-jkzD4Oyn2/view?usp=drivesdk" TargetMode="External"/><Relationship  Id="rId205" Type="http://schemas.openxmlformats.org/officeDocument/2006/relationships/hyperlink" Target="https://drive.google.com/file/d/1Bx8eIjsn2UbD-Eebh-HRXGc_WzEk5wAn/view?usp=drivesdk" TargetMode="External"/><Relationship  Id="rId206" Type="http://schemas.openxmlformats.org/officeDocument/2006/relationships/hyperlink" Target="https://drive.google.com/file/d/1_gLy1A1k3IzWX8sPqxNeMaHtDPmlby8T/view?usp=drivesdk" TargetMode="External"/><Relationship  Id="rId207" Type="http://schemas.openxmlformats.org/officeDocument/2006/relationships/hyperlink" Target="https://drive.google.com/file/d/129xvh4OCvFENvZdEzfEk240CcJAe8lgI/view?usp=drivesdk" TargetMode="External"/><Relationship  Id="rId208" Type="http://schemas.openxmlformats.org/officeDocument/2006/relationships/hyperlink" Target="https://drive.google.com/file/d/1eUj4GMYEnEy-XeLET7dqkbmbju8N6Mq-/view?usp=drivesdk" TargetMode="External"/><Relationship  Id="rId209" Type="http://schemas.openxmlformats.org/officeDocument/2006/relationships/hyperlink" Target="https://drive.google.com/file/d/1iIC_Ms2xqUgQ7aWpqCZivM2j2GjziWvO/view?usp=drivesdk" TargetMode="External"/><Relationship  Id="rId21" Type="http://schemas.openxmlformats.org/officeDocument/2006/relationships/hyperlink" Target="https://drive.google.com/file/d/1_hg58-TS-0OBRKfh693vsF40FNhthdSv/view?usp=drivesdk" TargetMode="External"/><Relationship  Id="rId210" Type="http://schemas.openxmlformats.org/officeDocument/2006/relationships/hyperlink" Target="https://drive.google.com/file/d/1Kws5rAEpQ7SYdQpnp3GSAg4KYwg9dAkK/view?usp=drivesdk" TargetMode="External"/><Relationship  Id="rId211" Type="http://schemas.openxmlformats.org/officeDocument/2006/relationships/hyperlink" Target="https://drive.google.com/file/d/1dMf9fCdDO0jMie9YGcrltPpMI-1lHHVt/view?usp=drivesdk" TargetMode="External"/><Relationship  Id="rId212" Type="http://schemas.openxmlformats.org/officeDocument/2006/relationships/hyperlink" Target="https://drive.google.com/file/d/10NKv0ZdsE9EnuC1E1sGsfk7Wpa3ZwLz_/view?usp=drivesdk" TargetMode="External"/><Relationship  Id="rId213" Type="http://schemas.openxmlformats.org/officeDocument/2006/relationships/hyperlink" Target="https://drive.google.com/file/d/1WbO8bLQxFadmypBOHMC-nY-aReqc3pEY/view?usp=drivesdk" TargetMode="External"/><Relationship  Id="rId214" Type="http://schemas.openxmlformats.org/officeDocument/2006/relationships/hyperlink" Target="https://drive.google.com/file/d/1c_17CWdpYf4ZobB-aPQtcnfATZrkaWCW/view?usp=drivesdk" TargetMode="External"/><Relationship  Id="rId215" Type="http://schemas.openxmlformats.org/officeDocument/2006/relationships/hyperlink" Target="https://drive.google.com/file/d/18UfMjgzVQ0Qs5gyAlzsAK3z2GvM4MkpJ/view?usp=drivesdk" TargetMode="External"/><Relationship  Id="rId216" Type="http://schemas.openxmlformats.org/officeDocument/2006/relationships/hyperlink" Target="https://drive.google.com/file/d/1GbkwcAx1SOWfG9-WZZk-nfDApd0mKNLr/view?usp=drivesdk" TargetMode="External"/><Relationship  Id="rId217" Type="http://schemas.openxmlformats.org/officeDocument/2006/relationships/hyperlink" Target="https://drive.google.com/file/d/1Yx6W70J97mk5Kyom_2kfvYNjDrxVxhFR/view?usp=drivesdk" TargetMode="External"/><Relationship  Id="rId218" Type="http://schemas.openxmlformats.org/officeDocument/2006/relationships/hyperlink" Target="https://drive.google.com/file/d/1LaV0oolQAX1M-SAfsTlHsIZwptE_fn6q/view?usp=drivesdk" TargetMode="External"/><Relationship  Id="rId219" Type="http://schemas.openxmlformats.org/officeDocument/2006/relationships/hyperlink" Target="https://drive.google.com/file/d/1JdgVFYjUb7C710n9p33XIfo3PuucXnh2/view?usp=drivesdk" TargetMode="External"/><Relationship  Id="rId22" Type="http://schemas.openxmlformats.org/officeDocument/2006/relationships/hyperlink" Target="https://drive.google.com/file/d/1m3cTb-hPgjCWS9w3VwycBINDjt9cGibc/view?usp=drivesdk" TargetMode="External"/><Relationship  Id="rId220" Type="http://schemas.openxmlformats.org/officeDocument/2006/relationships/hyperlink" Target="https://drive.google.com/file/d/1Tuj1RTJxA7guHuQ2QW5-ilLBSGm4kJPa/view?usp=drivesdk" TargetMode="External"/><Relationship  Id="rId221" Type="http://schemas.openxmlformats.org/officeDocument/2006/relationships/hyperlink" Target="https://drive.google.com/file/d/1aClCtfB6-xNEGA-7bSDxu3qN1nSnj5ha/view?usp=drivesdk" TargetMode="External"/><Relationship  Id="rId222" Type="http://schemas.openxmlformats.org/officeDocument/2006/relationships/hyperlink" Target="https://drive.google.com/file/d/10t9aQppntziwYhtcqXg8i5Zn_RZOA4aN/view?usp=drivesdk" TargetMode="External"/><Relationship  Id="rId223" Type="http://schemas.openxmlformats.org/officeDocument/2006/relationships/hyperlink" Target="https://drive.google.com/file/d/1HZPIjMFNqy1gPFYJaKDiadyF_Oqwwypd/view?usp=drivesdk" TargetMode="External"/><Relationship  Id="rId224" Type="http://schemas.openxmlformats.org/officeDocument/2006/relationships/hyperlink" Target="https://drive.google.com/file/d/1oeGeKSgS3Rj3ezxMi9DC9ZfxYgOGr0dj/view?usp=drivesdk" TargetMode="External"/><Relationship  Id="rId225" Type="http://schemas.openxmlformats.org/officeDocument/2006/relationships/hyperlink" Target="https://drive.google.com/file/d/1hoIhHi8rPFD1HZe9lqBoRYt0-qiSQ9cY/view?usp=drivesdk" TargetMode="External"/><Relationship  Id="rId226" Type="http://schemas.openxmlformats.org/officeDocument/2006/relationships/hyperlink" Target="https://drive.google.com/file/d/1p2yGEdGdlxytgTx1c56mFE_F-Ufz6Eiz/view?usp=drivesdk" TargetMode="External"/><Relationship  Id="rId227" Type="http://schemas.openxmlformats.org/officeDocument/2006/relationships/hyperlink" Target="https://drive.google.com/file/d/1Mz3L-R7GmHV7yFVbAJB2G251Y9aQmyUh/view?usp=drivesdk" TargetMode="External"/><Relationship  Id="rId228" Type="http://schemas.openxmlformats.org/officeDocument/2006/relationships/hyperlink" Target="https://drive.google.com/file/d/1Wf9Ckjp2sLamyPuRwx0TO9USX31W_XUH/view?usp=drivesdk" TargetMode="External"/><Relationship  Id="rId229" Type="http://schemas.openxmlformats.org/officeDocument/2006/relationships/hyperlink" Target="https://drive.google.com/file/d/1nuvfpf-pktxZQ4Fn4othDCzGp4pHBxIT/view?usp=drivesdk" TargetMode="External"/><Relationship  Id="rId23" Type="http://schemas.openxmlformats.org/officeDocument/2006/relationships/hyperlink" Target="https://drive.google.com/file/d/12McULl2553Az5axxsFAwOVZeEF7klmzi/view?usp=drivesdk" TargetMode="External"/><Relationship  Id="rId230" Type="http://schemas.openxmlformats.org/officeDocument/2006/relationships/hyperlink" Target="https://drive.google.com/file/d/1iplezs2c8Ay5MayLVMTprt5UGBbv9EZO/view?usp=drivesdk" TargetMode="External"/><Relationship  Id="rId231" Type="http://schemas.openxmlformats.org/officeDocument/2006/relationships/hyperlink" Target="https://drive.google.com/file/d/1cCjSxvns3QV3o5W2jIlYVXIwRXY9eFJZ/view?usp=drivesdk" TargetMode="External"/><Relationship  Id="rId232" Type="http://schemas.openxmlformats.org/officeDocument/2006/relationships/hyperlink" Target="https://drive.google.com/file/d/1S74MJv1SfsPzi_n7XhPR4Qiv8ESCo19e/view?usp=drivesdk" TargetMode="External"/><Relationship  Id="rId233" Type="http://schemas.openxmlformats.org/officeDocument/2006/relationships/hyperlink" Target="https://drive.google.com/file/d/1hS-_HW8eWrZmb6fgo4xHhVVI9Xt7m2gn/view?usp=drivesdk" TargetMode="External"/><Relationship  Id="rId234" Type="http://schemas.openxmlformats.org/officeDocument/2006/relationships/hyperlink" Target="https://drive.google.com/file/d/1CuQqH5D6rDfzkuZ8-zllrGXzt-8DTY6b/view?usp=drivesdk" TargetMode="External"/><Relationship  Id="rId235" Type="http://schemas.openxmlformats.org/officeDocument/2006/relationships/hyperlink" Target="https://drive.google.com/file/d/1T1BHJT9NsdFO3UgJyllJiw-i1c8gLx-j/view?usp=drivesdk" TargetMode="External"/><Relationship  Id="rId236" Type="http://schemas.openxmlformats.org/officeDocument/2006/relationships/hyperlink" Target="https://drive.google.com/file/d/1RqZoUPZrYdtHZl2_c9xAjqL153Lb5WRy/view?usp=drivesdk" TargetMode="External"/><Relationship  Id="rId237" Type="http://schemas.openxmlformats.org/officeDocument/2006/relationships/hyperlink" Target="https://drive.google.com/file/d/1z9r1UbakzixRky6EtppR3ITVxGOMN6Wh/view?usp=drivesdk" TargetMode="External"/><Relationship  Id="rId238" Type="http://schemas.openxmlformats.org/officeDocument/2006/relationships/hyperlink" Target="https://drive.google.com/file/d/1J8DeN54qH2o2ZVhrUdohTsEmhA6_P59I/view?usp=drivesdk" TargetMode="External"/><Relationship  Id="rId239" Type="http://schemas.openxmlformats.org/officeDocument/2006/relationships/hyperlink" Target="https://drive.google.com/file/d/1jHfZCOBm0dR7EaK65eqUfC-y8MuP_sBS/view?usp=drivesdk" TargetMode="External"/><Relationship  Id="rId24" Type="http://schemas.openxmlformats.org/officeDocument/2006/relationships/hyperlink" Target="https://drive.google.com/file/d/1r3rVdCs-PV46S2Hf81fYLLaThsoaCoD7/view?usp=drivesdk" TargetMode="External"/><Relationship  Id="rId240" Type="http://schemas.openxmlformats.org/officeDocument/2006/relationships/hyperlink" Target="https://drive.google.com/file/d/1wu8xhB3HtJiS9NLo-YDcr5ryVipTUWyW/view?usp=drivesdk" TargetMode="External"/><Relationship  Id="rId241" Type="http://schemas.openxmlformats.org/officeDocument/2006/relationships/hyperlink" Target="https://drive.google.com/file/d/1o_-nSaJuI8zj6mna45TNyklEXDWX3KlY/view?usp=drivesdk" TargetMode="External"/><Relationship  Id="rId242" Type="http://schemas.openxmlformats.org/officeDocument/2006/relationships/hyperlink" Target="https://drive.google.com/file/d/1VIBPKCQaHzYczVWB2PFhXnuDapMPzMov/view?usp=drivesdk" TargetMode="External"/><Relationship  Id="rId243" Type="http://schemas.openxmlformats.org/officeDocument/2006/relationships/hyperlink" Target="https://drive.google.com/file/d/1iiwK5OJTV24LHzTp5IGJCihNclbDlVBt/view?usp=drivesdk" TargetMode="External"/><Relationship  Id="rId244" Type="http://schemas.openxmlformats.org/officeDocument/2006/relationships/hyperlink" Target="https://drive.google.com/file/d/1vX9H8zW7SCIzGRKCMsJCHr1Qa8H67-Ki/view?usp=drivesdk" TargetMode="External"/><Relationship  Id="rId245" Type="http://schemas.openxmlformats.org/officeDocument/2006/relationships/hyperlink" Target="https://drive.google.com/file/d/1Mumd3cHZC2TOIyumN2IqzXoZqfqpba3z/view?usp=drivesdk" TargetMode="External"/><Relationship  Id="rId246" Type="http://schemas.openxmlformats.org/officeDocument/2006/relationships/hyperlink" Target="https://drive.google.com/file/d/1sGugRtwpjXeMEsMK7KBUUtBy9yhhoVvv/view?usp=drivesdk" TargetMode="External"/><Relationship  Id="rId247" Type="http://schemas.openxmlformats.org/officeDocument/2006/relationships/hyperlink" Target="https://drive.google.com/file/d/11qDDrHhjj7ZD192pBcq64TIMZ8alsZqj/view?usp=drivesdk" TargetMode="External"/><Relationship  Id="rId248" Type="http://schemas.openxmlformats.org/officeDocument/2006/relationships/hyperlink" Target="https://drive.google.com/file/d/1PDoN-z_H1Mt8Dy0DofL4KqpzgRodvPXM/view?usp=drivesdk" TargetMode="External"/><Relationship  Id="rId249" Type="http://schemas.openxmlformats.org/officeDocument/2006/relationships/hyperlink" Target="https://drive.google.com/file/d/1mfY57SpIfPkLQOR2sD7OJz4HZ7qpAEXl/view?usp=drivesdk" TargetMode="External"/><Relationship  Id="rId25" Type="http://schemas.openxmlformats.org/officeDocument/2006/relationships/hyperlink" Target="https://drive.google.com/file/d/1cP-WoG9gTv7g0XwUw6desx-o2_auSfL9/view?usp=drivesdk" TargetMode="External"/><Relationship  Id="rId250" Type="http://schemas.openxmlformats.org/officeDocument/2006/relationships/hyperlink" Target="https://drive.google.com/file/d/1YBsnsM3CPkNbt5WITXG0mFnKpSdpUQ6Z/view?usp=drivesdk" TargetMode="External"/><Relationship  Id="rId251" Type="http://schemas.openxmlformats.org/officeDocument/2006/relationships/hyperlink" Target="https://drive.google.com/file/d/1jwSVH1CyVPk_9vL_nWRcmlowiqzKzFKY/view?usp=drivesdk" TargetMode="External"/><Relationship  Id="rId252" Type="http://schemas.openxmlformats.org/officeDocument/2006/relationships/hyperlink" Target="https://drive.google.com/file/d/1dGcf7KmG0HOEn3QIYLel9oYrbd87-k7L/view?usp=drivesdk" TargetMode="External"/><Relationship  Id="rId253" Type="http://schemas.openxmlformats.org/officeDocument/2006/relationships/hyperlink" Target="https://drive.google.com/file/d/18p6iE6Owx7q7is_NV19bnnis8adCZn6y/view?usp=drivesdk" TargetMode="External"/><Relationship  Id="rId254" Type="http://schemas.openxmlformats.org/officeDocument/2006/relationships/hyperlink" Target="https://drive.google.com/file/d/1OtVDlXi06Knz22wa51NVGpBFGzg98jPG/view?usp=drivesdk" TargetMode="External"/><Relationship  Id="rId255" Type="http://schemas.openxmlformats.org/officeDocument/2006/relationships/hyperlink" Target="https://drive.google.com/file/d/16OT2VsVgVSOsl7oXt148Mk51X4if4xih/view?usp=drivesdk" TargetMode="External"/><Relationship  Id="rId256" Type="http://schemas.openxmlformats.org/officeDocument/2006/relationships/hyperlink" Target="https://drive.google.com/file/d/1zmqt11BHP-b49Mpg4teJro2u_pjSDZtQ/view?usp=drivesdk" TargetMode="External"/><Relationship  Id="rId257" Type="http://schemas.openxmlformats.org/officeDocument/2006/relationships/hyperlink" Target="https://drive.google.com/file/d/1y6XvEc8lsdJQhX2n3u5uUX0pJWzJ-m9C/view?usp=drivesdk" TargetMode="External"/><Relationship  Id="rId258" Type="http://schemas.openxmlformats.org/officeDocument/2006/relationships/hyperlink" Target="https://drive.google.com/file/d/12oJZX0zOCxeyiyPdV8DAUW89y4XPydtV/view?usp=drivesdk" TargetMode="External"/><Relationship  Id="rId259" Type="http://schemas.openxmlformats.org/officeDocument/2006/relationships/hyperlink" Target="https://drive.google.com/file/d/1os72qtt2Z0ibsDYfndDCB6mHFoya68C5/view?usp=drivesdk" TargetMode="External"/><Relationship  Id="rId26" Type="http://schemas.openxmlformats.org/officeDocument/2006/relationships/hyperlink" Target="https://drive.google.com/file/d/13FWd3fpIoESTeaRbGABZG6wJGzzxcDGP/view?usp=drivesdk" TargetMode="External"/><Relationship  Id="rId260" Type="http://schemas.openxmlformats.org/officeDocument/2006/relationships/hyperlink" Target="https://drive.google.com/file/d/1dMVe7aTKqPR16wi0kXgAPH7K0i_1gvsQ/view?usp=drivesdk" TargetMode="External"/><Relationship  Id="rId261" Type="http://schemas.openxmlformats.org/officeDocument/2006/relationships/hyperlink" Target="https://drive.google.com/file/d/1lQrxfn8QvGJpg9Ok4QOBHwv8cfVtFS71/view?usp=drivesdk" TargetMode="External"/><Relationship  Id="rId262" Type="http://schemas.openxmlformats.org/officeDocument/2006/relationships/hyperlink" Target="https://drive.google.com/file/d/1iInHBI7YryE88xC0_Ur__tiz-jkT7VdZ/view?usp=drivesdk" TargetMode="External"/><Relationship  Id="rId263" Type="http://schemas.openxmlformats.org/officeDocument/2006/relationships/hyperlink" Target="https://drive.google.com/file/d/1q-nERTmAJm3mVWQUnf1MijBM3PO3o8Ru/view?usp=drivesdk" TargetMode="External"/><Relationship  Id="rId264" Type="http://schemas.openxmlformats.org/officeDocument/2006/relationships/hyperlink" Target="https://drive.google.com/file/d/1UzCqEs-WXPC0FOOEdyWwP06WnT4vI_sC/view?usp=drivesdk" TargetMode="External"/><Relationship  Id="rId265" Type="http://schemas.openxmlformats.org/officeDocument/2006/relationships/hyperlink" Target="https://drive.google.com/file/d/1_3ZBYMmTsRyqvcm7YAQ2t6T37Nr1_t-0/view?usp=drivesdk" TargetMode="External"/><Relationship  Id="rId266" Type="http://schemas.openxmlformats.org/officeDocument/2006/relationships/hyperlink" Target="https://drive.google.com/file/d/1JOrrO8qyp9nwxYLLdaxP7yQOMQHr2sn8/view?usp=drivesdk" TargetMode="External"/><Relationship  Id="rId267" Type="http://schemas.openxmlformats.org/officeDocument/2006/relationships/hyperlink" Target="https://drive.google.com/file/d/1_G1-eU8I60Kxx_1mTdrxTiQCSLKBH9xh/view?usp=drivesdk" TargetMode="External"/><Relationship  Id="rId268" Type="http://schemas.openxmlformats.org/officeDocument/2006/relationships/hyperlink" Target="https://drive.google.com/file/d/1WZ--KGTXcyCHIJbvInUgsJsXCLFL9yWn/view?usp=drivesdk" TargetMode="External"/><Relationship  Id="rId269" Type="http://schemas.openxmlformats.org/officeDocument/2006/relationships/hyperlink" Target="https://drive.google.com/file/d/1r7sZYnYoibjfibt8KVRZCbsQav8E1HNt/view?usp=drivesdk" TargetMode="External"/><Relationship  Id="rId27" Type="http://schemas.openxmlformats.org/officeDocument/2006/relationships/hyperlink" Target="https://drive.google.com/file/d/1T4luGPPPe1HDPSRIhMh9RbkL5_LKdlVF/view?usp=drivesdk" TargetMode="External"/><Relationship  Id="rId270" Type="http://schemas.openxmlformats.org/officeDocument/2006/relationships/hyperlink" Target="https://drive.google.com/file/d/1fmjjHceRi07qeYn170bH7ReJeFhbIAvi/view?usp=drivesdk" TargetMode="External"/><Relationship  Id="rId271" Type="http://schemas.openxmlformats.org/officeDocument/2006/relationships/hyperlink" Target="https://drive.google.com/file/d/1i23VV8IEuP-aGaa0CQ24Yql1yZc8hReZ/view?usp=drivesdk" TargetMode="External"/><Relationship  Id="rId272" Type="http://schemas.openxmlformats.org/officeDocument/2006/relationships/hyperlink" Target="https://drive.google.com/file/d/1T-2OOAkrWCencZMfCmcmn1KNtSntRcY_/view?usp=drivesdk" TargetMode="External"/><Relationship  Id="rId273" Type="http://schemas.openxmlformats.org/officeDocument/2006/relationships/hyperlink" Target="https://drive.google.com/file/d/1iAwXLzOSMj1halAYTS2fqa1ZlTCDBxPB/view?usp=drivesdk" TargetMode="External"/><Relationship  Id="rId274" Type="http://schemas.openxmlformats.org/officeDocument/2006/relationships/hyperlink" Target="https://drive.google.com/file/d/1R9u6J9TNdSRlMd3_9zv6M5Ywencp3E16/view?usp=drivesdk" TargetMode="External"/><Relationship  Id="rId275" Type="http://schemas.openxmlformats.org/officeDocument/2006/relationships/hyperlink" Target="https://drive.google.com/file/d/1CD87JT93ubWaHDXY8nWJZZyiOsnrELwn/view?usp=drivesdk" TargetMode="External"/><Relationship  Id="rId276" Type="http://schemas.openxmlformats.org/officeDocument/2006/relationships/hyperlink" Target="https://drive.google.com/file/d/1olEkoBzHzOQye0vMbwk7fLhuRMh6M0Da/view?usp=drivesdk" TargetMode="External"/><Relationship  Id="rId277" Type="http://schemas.openxmlformats.org/officeDocument/2006/relationships/hyperlink" Target="https://drive.google.com/file/d/1pvouh93iZSftaFDuGwKsoW_ObiiQ8pPW/view?usp=drivesdk" TargetMode="External"/><Relationship  Id="rId278" Type="http://schemas.openxmlformats.org/officeDocument/2006/relationships/hyperlink" Target="https://drive.google.com/file/d/1AVHayipmqFsbmD-iXlGYa2Q3niHw2Zxq/view?usp=drivesdk" TargetMode="External"/><Relationship  Id="rId279" Type="http://schemas.openxmlformats.org/officeDocument/2006/relationships/hyperlink" Target="https://drive.google.com/file/d/13O8Rg-yukRkWxBHjmNMuk6v1Kc2_i3Sm/view?usp=drivesdk" TargetMode="External"/><Relationship  Id="rId28" Type="http://schemas.openxmlformats.org/officeDocument/2006/relationships/hyperlink" Target="https://drive.google.com/file/d/1eX5_PXsQY6agSsLhq0fqqU0KeEw2blw2/view?usp=drivesdk" TargetMode="External"/><Relationship  Id="rId280" Type="http://schemas.openxmlformats.org/officeDocument/2006/relationships/hyperlink" Target="https://drive.google.com/file/d/1q0cmv6vW345h1HsGYkfqBmU74CiGmble/view?usp=drivesdk" TargetMode="External"/><Relationship  Id="rId281" Type="http://schemas.openxmlformats.org/officeDocument/2006/relationships/hyperlink" Target="https://drive.google.com/file/d/1u_1OwtHQZUWlx4ZT0Hg3h0pnnVxaXdAQ/view?usp=drivesdk" TargetMode="External"/><Relationship  Id="rId282" Type="http://schemas.openxmlformats.org/officeDocument/2006/relationships/hyperlink" Target="https://drive.google.com/file/d/1daFveZl_zmym-9wKjUcKqC9Erqljia6D/view?usp=drivesdk" TargetMode="External"/><Relationship  Id="rId283" Type="http://schemas.openxmlformats.org/officeDocument/2006/relationships/hyperlink" Target="https://drive.google.com/file/d/1Rg-yBpQvMfr_JeI2ID4ccCwPfU4iCbUs/view?usp=drivesdk" TargetMode="External"/><Relationship  Id="rId284" Type="http://schemas.openxmlformats.org/officeDocument/2006/relationships/hyperlink" Target="https://drive.google.com/file/d/1XyvvqNGoy0wjZ7Vu5Imz30T00CS5Z7sl/view?usp=drivesdk" TargetMode="External"/><Relationship  Id="rId285" Type="http://schemas.openxmlformats.org/officeDocument/2006/relationships/hyperlink" Target="https://drive.google.com/file/d/1PDxGUirp2TuKaTrjms-Pgq4d7VLrRpoN/view?usp=drivesdk" TargetMode="External"/><Relationship  Id="rId286" Type="http://schemas.openxmlformats.org/officeDocument/2006/relationships/hyperlink" Target="https://drive.google.com/file/d/1G9QKPmPdPcCthpPrgACkeyu4w5rwfvxz/view?usp=drivesdk" TargetMode="External"/><Relationship  Id="rId287" Type="http://schemas.openxmlformats.org/officeDocument/2006/relationships/hyperlink" Target="https://drive.google.com/file/d/1ZVkP0k6MJH1cCPg07_LvhU9COVhn0iEi/view?usp=drivesdk" TargetMode="External"/><Relationship  Id="rId288" Type="http://schemas.openxmlformats.org/officeDocument/2006/relationships/hyperlink" Target="https://drive.google.com/file/d/1AaG2wdRdwL1Aqc27HH7xX2Jfw0xLS2SQ/view?usp=drivesdk" TargetMode="External"/><Relationship  Id="rId289" Type="http://schemas.openxmlformats.org/officeDocument/2006/relationships/hyperlink" Target="https://drive.google.com/file/d/1DGV8yY0aZp_Hlz_WmyzPhSg9Qtx9fhGf/view?usp=drivesdk" TargetMode="External"/><Relationship  Id="rId29" Type="http://schemas.openxmlformats.org/officeDocument/2006/relationships/hyperlink" Target="https://drive.google.com/file/d/1gWiMpnq3pBaRjokxFAdpDi8AEjkknCbS/view?usp=drivesdk" TargetMode="External"/><Relationship  Id="rId290" Type="http://schemas.openxmlformats.org/officeDocument/2006/relationships/hyperlink" Target="https://drive.google.com/file/d/1NmILP48QHT-qnQEt8NIRR-w7QtIx8cMh/view?usp=drivesdk" TargetMode="External"/><Relationship  Id="rId291" Type="http://schemas.openxmlformats.org/officeDocument/2006/relationships/hyperlink" Target="https://drive.google.com/file/d/1uQgquFkcA8JqS4fkGDjj3wlL-A31a5QO/view?usp=drivesdk" TargetMode="External"/><Relationship  Id="rId292" Type="http://schemas.openxmlformats.org/officeDocument/2006/relationships/hyperlink" Target="https://drive.google.com/file/d/1Y0ma84jXz4l3wx_KrDjmvKlvRo6RFzcW/view?usp=drivesdk" TargetMode="External"/><Relationship  Id="rId293" Type="http://schemas.openxmlformats.org/officeDocument/2006/relationships/hyperlink" Target="https://drive.google.com/file/d/18QrEyqdiYpFkvJl2A5W6_sEficnPl-1s/view?usp=drivesdk" TargetMode="External"/><Relationship  Id="rId294" Type="http://schemas.openxmlformats.org/officeDocument/2006/relationships/hyperlink" Target="https://drive.google.com/file/d/1bxqZEi6Syp9wQopr3hLaNydfbvzZvR_l/view?usp=drivesdk" TargetMode="External"/><Relationship  Id="rId295" Type="http://schemas.openxmlformats.org/officeDocument/2006/relationships/hyperlink" Target="https://drive.google.com/file/d/1pcZ84ESvWR91eVOuXVmYCLHFHB17OFZf/view?usp=drivesdk" TargetMode="External"/><Relationship  Id="rId296" Type="http://schemas.openxmlformats.org/officeDocument/2006/relationships/hyperlink" Target="https://drive.google.com/file/d/10xrdTQ5ZKqLI9vs1yj7X1iuQy-0rtW_Y/view?usp=drivesdk" TargetMode="External"/><Relationship  Id="rId297" Type="http://schemas.openxmlformats.org/officeDocument/2006/relationships/hyperlink" Target="https://drive.google.com/file/d/1b1IsPmaD0u5HGNOJDAyxX3QFimOMO_2B/view?usp=drivesdk" TargetMode="External"/><Relationship  Id="rId298" Type="http://schemas.openxmlformats.org/officeDocument/2006/relationships/hyperlink" Target="https://drive.google.com/file/d/1JIRTzGMT9AorQptG1EyOMihSLCNT8KV-/view?usp=drivesdk" TargetMode="External"/><Relationship  Id="rId299" Type="http://schemas.openxmlformats.org/officeDocument/2006/relationships/hyperlink" Target="https://drive.google.com/file/d/1XDMaegmSUtyPXioSG-I5UvONU_6FoBGt/view?usp=drivesdk" TargetMode="External"/><Relationship  Id="rId3" Type="http://schemas.openxmlformats.org/officeDocument/2006/relationships/hyperlink" Target="https://drive.google.com/file/d/1KpxMKt4cOXKwNR3G5ytOYBkK9K6XOb1P/view?usp=drivesdk" TargetMode="External"/><Relationship  Id="rId30" Type="http://schemas.openxmlformats.org/officeDocument/2006/relationships/hyperlink" Target="https://drive.google.com/file/d/1P-K_a-6fZ7ESaRUwHJXzJyI2OTffGsQs/view?usp=drivesdk" TargetMode="External"/><Relationship  Id="rId300" Type="http://schemas.openxmlformats.org/officeDocument/2006/relationships/hyperlink" Target="https://drive.google.com/file/d/1EElqmzN71SlQJz7LrqJrMxC1Pzwgo5AW/view?usp=drivesdk" TargetMode="External"/><Relationship  Id="rId301" Type="http://schemas.openxmlformats.org/officeDocument/2006/relationships/hyperlink" Target="https://drive.google.com/file/d/1S1qSd2xGA9aoTlten9wmsQkqd5fWaWSA/view?usp=drivesdk" TargetMode="External"/><Relationship  Id="rId302" Type="http://schemas.openxmlformats.org/officeDocument/2006/relationships/hyperlink" Target="https://drive.google.com/file/d/1CgVXVUfI6yhMN0CSLD8yjp0cVe0vI9s7/view?usp=drivesdk" TargetMode="External"/><Relationship  Id="rId303" Type="http://schemas.openxmlformats.org/officeDocument/2006/relationships/hyperlink" Target="https://drive.google.com/file/d/1aksrqnfFVuNBiIhU4dgPr1snq3zyHH5Q/view?usp=drivesdk" TargetMode="External"/><Relationship  Id="rId304" Type="http://schemas.openxmlformats.org/officeDocument/2006/relationships/hyperlink" Target="https://drive.google.com/file/d/1Fp0lFGYN0PMUATj_1E9mziAx5dqYzmpK/view?usp=drivesdk" TargetMode="External"/><Relationship  Id="rId305" Type="http://schemas.openxmlformats.org/officeDocument/2006/relationships/hyperlink" Target="https://drive.google.com/file/d/1EoibY38ZlxkFWIwiN1NANbVzoNEm11fl/view?usp=drivesdk" TargetMode="External"/><Relationship  Id="rId306" Type="http://schemas.openxmlformats.org/officeDocument/2006/relationships/hyperlink" Target="https://drive.google.com/file/d/1EORJNG1zLwCkP7ui7VBCUzojNfbmxqMj/view?usp=drivesdk" TargetMode="External"/><Relationship  Id="rId307" Type="http://schemas.openxmlformats.org/officeDocument/2006/relationships/hyperlink" Target="https://drive.google.com/file/d/1aCOHmrqdJc7IOl4BPHc43I758V_jZJFO/view?usp=drivesdk" TargetMode="External"/><Relationship  Id="rId308" Type="http://schemas.openxmlformats.org/officeDocument/2006/relationships/hyperlink" Target="https://drive.google.com/file/d/1LjyGGpS45Ll96FS3lrngkOIgpWxOk9Nu/view?usp=drivesdk" TargetMode="External"/><Relationship  Id="rId309" Type="http://schemas.openxmlformats.org/officeDocument/2006/relationships/hyperlink" Target="https://drive.google.com/file/d/1rJSugrsaaVkn2jLVojtByZNwnlpRmAUf/view?usp=drivesdk" TargetMode="External"/><Relationship  Id="rId31" Type="http://schemas.openxmlformats.org/officeDocument/2006/relationships/hyperlink" Target="https://drive.google.com/file/d/1HAkDfBT0WdddZiWZLQenP3KTueA28fr6/view?usp=drivesdk" TargetMode="External"/><Relationship  Id="rId310" Type="http://schemas.openxmlformats.org/officeDocument/2006/relationships/hyperlink" Target="https://drive.google.com/file/d/1MRq0lnKJkaCW0O3Y1bwOs_wR1DVUX7fM/view?usp=drivesdk" TargetMode="External"/><Relationship  Id="rId311" Type="http://schemas.openxmlformats.org/officeDocument/2006/relationships/hyperlink" Target="https://drive.google.com/file/d/1Isy2a1Ht-RPUQrvF4lyky6j_3Up1v6Fv/view?usp=drivesdk" TargetMode="External"/><Relationship  Id="rId312" Type="http://schemas.openxmlformats.org/officeDocument/2006/relationships/hyperlink" Target="https://drive.google.com/file/d/1wN5STiSy4V7V-7IMxN-LJQmLrm-lV_Sz/view?usp=drivesdk" TargetMode="External"/><Relationship  Id="rId313" Type="http://schemas.openxmlformats.org/officeDocument/2006/relationships/hyperlink" Target="https://drive.google.com/file/d/1NwHGrDGAPiXcXXisyBKqiMA5lvkfHEN3/view?usp=drivesdk" TargetMode="External"/><Relationship  Id="rId314" Type="http://schemas.openxmlformats.org/officeDocument/2006/relationships/hyperlink" Target="https://drive.google.com/file/d/1kQtKmzBWIvdEXACKQljM6nGachqKa2kx/view?usp=drivesdk" TargetMode="External"/><Relationship  Id="rId315" Type="http://schemas.openxmlformats.org/officeDocument/2006/relationships/hyperlink" Target="https://drive.google.com/file/d/1_9W9SiqGVxm4rgU1wmsWTzoBAW5etXoR/view?usp=drivesdk" TargetMode="External"/><Relationship  Id="rId32" Type="http://schemas.openxmlformats.org/officeDocument/2006/relationships/hyperlink" Target="https://drive.google.com/file/d/1baDvqcylK_RPmyZtoIv98miegzH2TASq/view?usp=drivesdk" TargetMode="External"/><Relationship  Id="rId33" Type="http://schemas.openxmlformats.org/officeDocument/2006/relationships/hyperlink" Target="https://drive.google.com/file/d/1R16fSOL6ojUaOpbDeD170peuOr0IBb3N/view?usp=drivesdk" TargetMode="External"/><Relationship  Id="rId34" Type="http://schemas.openxmlformats.org/officeDocument/2006/relationships/hyperlink" Target="https://drive.google.com/file/d/1Jntrmes_6k6PqPSBN2yLp10lMNVhi_At/view?usp=drivesdk" TargetMode="External"/><Relationship  Id="rId35" Type="http://schemas.openxmlformats.org/officeDocument/2006/relationships/hyperlink" Target="https://drive.google.com/file/d/1CgTm4vN_iiHiuf9z4M5xLxrwh5L5a-Tm/view?usp=drivesdk" TargetMode="External"/><Relationship  Id="rId36" Type="http://schemas.openxmlformats.org/officeDocument/2006/relationships/hyperlink" Target="https://drive.google.com/file/d/1M3rNkYnQf94spUtHSjBtUhHy7c5lEEAw/view?usp=drivesdk" TargetMode="External"/><Relationship  Id="rId37" Type="http://schemas.openxmlformats.org/officeDocument/2006/relationships/hyperlink" Target="https://drive.google.com/file/d/14xjUOjNFCZphi9t6CiwN5RUSI_hQ_JhD/view?usp=drivesdk" TargetMode="External"/><Relationship  Id="rId38" Type="http://schemas.openxmlformats.org/officeDocument/2006/relationships/hyperlink" Target="https://drive.google.com/file/d/1pG3JPAsHJIMFVf592r2h5jvvqBwb42WG/view?usp=drivesdk" TargetMode="External"/><Relationship  Id="rId39" Type="http://schemas.openxmlformats.org/officeDocument/2006/relationships/hyperlink" Target="https://drive.google.com/file/d/1Le0NYFSPp8dOuLnpDkTrIekaU41fHQVN/view?usp=drivesdk" TargetMode="External"/><Relationship  Id="rId4" Type="http://schemas.openxmlformats.org/officeDocument/2006/relationships/hyperlink" Target="https://drive.google.com/file/d/14ugOgjSZfG1bTo9T-aWR3RHMKQLe82WU/view?usp=drivesdk" TargetMode="External"/><Relationship  Id="rId40" Type="http://schemas.openxmlformats.org/officeDocument/2006/relationships/hyperlink" Target="https://drive.google.com/file/d/156a2MZK_GBFe29cTXpPkXyTfSZsRYIIY/view?usp=drivesdk" TargetMode="External"/><Relationship  Id="rId41" Type="http://schemas.openxmlformats.org/officeDocument/2006/relationships/hyperlink" Target="https://drive.google.com/file/d/1oewzgJ04y8j1yq4YT2jgVPrKme7zJ1Y9/view?usp=drivesdk" TargetMode="External"/><Relationship  Id="rId42" Type="http://schemas.openxmlformats.org/officeDocument/2006/relationships/hyperlink" Target="https://drive.google.com/file/d/1XPDn36om-RW-QqO92Mb8pdNS_ryJ_HYS/view?usp=drivesdk" TargetMode="External"/><Relationship  Id="rId43" Type="http://schemas.openxmlformats.org/officeDocument/2006/relationships/hyperlink" Target="https://drive.google.com/file/d/1UGZaxVmJd_XB3ntsKnL-POnLp8c3eh3E/view?usp=drivesdk" TargetMode="External"/><Relationship  Id="rId44" Type="http://schemas.openxmlformats.org/officeDocument/2006/relationships/hyperlink" Target="https://drive.google.com/file/d/1ePggrgAkAmjpULgXD8bKbQFmPoqfCzug/view?usp=drivesdk" TargetMode="External"/><Relationship  Id="rId45" Type="http://schemas.openxmlformats.org/officeDocument/2006/relationships/hyperlink" Target="https://drive.google.com/file/d/18yADQQSA0MTxjBO4xzkb3GHDIc3aY2Tc/view?usp=drivesdk" TargetMode="External"/><Relationship  Id="rId46" Type="http://schemas.openxmlformats.org/officeDocument/2006/relationships/hyperlink" Target="https://drive.google.com/file/d/1zTrS1gvSa8i85Bl_0XlVfwrmcUpN29Cx/view?usp=drivesdk" TargetMode="External"/><Relationship  Id="rId47" Type="http://schemas.openxmlformats.org/officeDocument/2006/relationships/hyperlink" Target="https://drive.google.com/file/d/1Ve6OfxmDxoBUaRJWkuJNkCJCDECjvtXE/view?usp=drivesdk" TargetMode="External"/><Relationship  Id="rId48" Type="http://schemas.openxmlformats.org/officeDocument/2006/relationships/hyperlink" Target="https://drive.google.com/file/d/1LN1-oYBc53fssG6j2Pdv2DdoSnUv_pLY/view?usp=drivesdk" TargetMode="External"/><Relationship  Id="rId49" Type="http://schemas.openxmlformats.org/officeDocument/2006/relationships/hyperlink" Target="https://drive.google.com/file/d/134ay4Qe7VLnDjxPm0pYS81bHKoePlN4c/view?usp=drivesdk" TargetMode="External"/><Relationship  Id="rId5" Type="http://schemas.openxmlformats.org/officeDocument/2006/relationships/hyperlink" Target="https://drive.google.com/file/d/1kqEfLQ6rl51-5USLK5M3MAmg2mzQtGg7/view?usp=drivesdk" TargetMode="External"/><Relationship  Id="rId50" Type="http://schemas.openxmlformats.org/officeDocument/2006/relationships/hyperlink" Target="https://drive.google.com/file/d/1yzyE7qxLV3bvQz8z4npLKRU38WwAa1xK/view?usp=drivesdk" TargetMode="External"/><Relationship  Id="rId51" Type="http://schemas.openxmlformats.org/officeDocument/2006/relationships/hyperlink" Target="https://drive.google.com/file/d/1960LS-JW3WPc0Vqh7uA5afmBoD37CAfR/view?usp=drivesdk" TargetMode="External"/><Relationship  Id="rId52" Type="http://schemas.openxmlformats.org/officeDocument/2006/relationships/hyperlink" Target="https://drive.google.com/file/d/10ijkKGr2Bf9O72fmph3SkT7Pee4UNcCw/view?usp=drivesdk" TargetMode="External"/><Relationship  Id="rId53" Type="http://schemas.openxmlformats.org/officeDocument/2006/relationships/hyperlink" Target="https://drive.google.com/file/d/1Ht-I2zwSe3Eu01lI4J1rKngj7xpHbd4H/view?usp=drivesdk" TargetMode="External"/><Relationship  Id="rId54" Type="http://schemas.openxmlformats.org/officeDocument/2006/relationships/hyperlink" Target="https://drive.google.com/file/d/1aFSIfrtg-z6xdkiqoX1l1DH-v0hmpsRm/view?usp=drivesdk" TargetMode="External"/><Relationship  Id="rId55" Type="http://schemas.openxmlformats.org/officeDocument/2006/relationships/hyperlink" Target="https://drive.google.com/file/d/1FeFgatpvovkkdMfkA-DNuMtWXIMOp5wx/view?usp=drivesdk" TargetMode="External"/><Relationship  Id="rId56" Type="http://schemas.openxmlformats.org/officeDocument/2006/relationships/hyperlink" Target="https://drive.google.com/file/d/1zzyBJz_wgsLx9Dq7QuNmdSg_WFUElPFW/view?usp=drivesdk" TargetMode="External"/><Relationship  Id="rId57" Type="http://schemas.openxmlformats.org/officeDocument/2006/relationships/hyperlink" Target="https://drive.google.com/file/d/1pwQ_6VYDLFhgHIF7IV77ZSwFPmvUjysV/view?usp=drivesdk" TargetMode="External"/><Relationship  Id="rId58" Type="http://schemas.openxmlformats.org/officeDocument/2006/relationships/hyperlink" Target="https://drive.google.com/file/d/1FaYRAegO1XybUQbMQQKvCUF6i3FfjcLB/view?usp=drivesdk" TargetMode="External"/><Relationship  Id="rId59" Type="http://schemas.openxmlformats.org/officeDocument/2006/relationships/hyperlink" Target="https://drive.google.com/file/d/1-Dz3Jbqtc1Bq164j1WmraehTEZB0_cw0/view?usp=drivesdk" TargetMode="External"/><Relationship  Id="rId6" Type="http://schemas.openxmlformats.org/officeDocument/2006/relationships/hyperlink" Target="https://drive.google.com/file/d/1GTI5GKF8vVK1bKkWrnJe_qg5ggQBNe3U/view?usp=drivesdk" TargetMode="External"/><Relationship  Id="rId60" Type="http://schemas.openxmlformats.org/officeDocument/2006/relationships/hyperlink" Target="https://drive.google.com/file/d/1x_dSj-a7JABsxkAb1HtYHtZDkt6L3D7A/view?usp=drivesdk" TargetMode="External"/><Relationship  Id="rId61" Type="http://schemas.openxmlformats.org/officeDocument/2006/relationships/hyperlink" Target="https://drive.google.com/file/d/1pvT1U091GHU_ntfdxo2YfpsMxK776aZq/view?usp=drivesdk" TargetMode="External"/><Relationship  Id="rId62" Type="http://schemas.openxmlformats.org/officeDocument/2006/relationships/hyperlink" Target="https://drive.google.com/file/d/1kfBx9Ldte_ASPPrrv42s7UA1c5kW1xsJ/view?usp=drivesdk" TargetMode="External"/><Relationship  Id="rId63" Type="http://schemas.openxmlformats.org/officeDocument/2006/relationships/hyperlink" Target="https://drive.google.com/file/d/1oKOeID3ZYoMVZGgvOi6wHc12vSCPmNl7/view?usp=drivesdk" TargetMode="External"/><Relationship  Id="rId64" Type="http://schemas.openxmlformats.org/officeDocument/2006/relationships/hyperlink" Target="https://drive.google.com/file/d/11KOY_rXL6gJbvVrOd4NTNDAiFBBHv26t/view?usp=drivesdk" TargetMode="External"/><Relationship  Id="rId65" Type="http://schemas.openxmlformats.org/officeDocument/2006/relationships/hyperlink" Target="https://drive.google.com/file/d/1ZyF-ej9wWMQjBWfY900uHIbeIX9DsBpS/view?usp=drivesdk" TargetMode="External"/><Relationship  Id="rId66" Type="http://schemas.openxmlformats.org/officeDocument/2006/relationships/hyperlink" Target="https://drive.google.com/file/d/1pivobEhhoi_nDfWgz14g-tMF7xHEYA0Y/view?usp=drivesdk" TargetMode="External"/><Relationship  Id="rId67" Type="http://schemas.openxmlformats.org/officeDocument/2006/relationships/hyperlink" Target="https://drive.google.com/file/d/1iZNuaH0yb3Pgi4MeHzRV9kD7MMKpWQEW/view?usp=drivesdk" TargetMode="External"/><Relationship  Id="rId68" Type="http://schemas.openxmlformats.org/officeDocument/2006/relationships/hyperlink" Target="https://drive.google.com/file/d/1kECdeAzTMsu8izBfdwJ3Im2u-WHLBHEI/view?usp=drivesdk" TargetMode="External"/><Relationship  Id="rId69" Type="http://schemas.openxmlformats.org/officeDocument/2006/relationships/hyperlink" Target="https://drive.google.com/file/d/1tKb_ZHRbblcRNdQvHgAvJo2A1iO6tz-d/view?usp=drivesdk" TargetMode="External"/><Relationship  Id="rId7" Type="http://schemas.openxmlformats.org/officeDocument/2006/relationships/hyperlink" Target="https://drive.google.com/file/d/15NW8Vodm6kXrtZKVBMt3OkA9jkXzsmEz/view?usp=drivesdk" TargetMode="External"/><Relationship  Id="rId70" Type="http://schemas.openxmlformats.org/officeDocument/2006/relationships/hyperlink" Target="https://drive.google.com/file/d/1d6or0qvRhfI6gH_j581DLTO7u6jjFebB/view?usp=drivesdk" TargetMode="External"/><Relationship  Id="rId71" Type="http://schemas.openxmlformats.org/officeDocument/2006/relationships/hyperlink" Target="https://drive.google.com/file/d/1B7D9QqbxjY-vsc5n_zWti8Hc8czXVEQ5/view?usp=drivesdk" TargetMode="External"/><Relationship  Id="rId72" Type="http://schemas.openxmlformats.org/officeDocument/2006/relationships/hyperlink" Target="https://drive.google.com/file/d/1AGZJrrc6m1vkdYhCLTgM0YslqumCRLkw/view?usp=drivesdk" TargetMode="External"/><Relationship  Id="rId73" Type="http://schemas.openxmlformats.org/officeDocument/2006/relationships/hyperlink" Target="https://drive.google.com/file/d/1HZSGJWRVVRCzbc90Tp9nSUgWyIdjLOZ3/view?usp=drivesdk" TargetMode="External"/><Relationship  Id="rId74" Type="http://schemas.openxmlformats.org/officeDocument/2006/relationships/hyperlink" Target="https://drive.google.com/file/d/1BPnfFSInEdrfPaVA8EHVibhTeBPM_I9b/view?usp=drivesdk" TargetMode="External"/><Relationship  Id="rId75" Type="http://schemas.openxmlformats.org/officeDocument/2006/relationships/hyperlink" Target="https://drive.google.com/file/d/1Ur0HrN52g2QXsaUtfaTCUqkniv8bsVoA/view?usp=drivesdk" TargetMode="External"/><Relationship  Id="rId76" Type="http://schemas.openxmlformats.org/officeDocument/2006/relationships/hyperlink" Target="https://drive.google.com/file/d/1Z_tjxZxHb3ixmLGCKtUzDryB9T0GLGRJ/view?usp=drivesdk" TargetMode="External"/><Relationship  Id="rId77" Type="http://schemas.openxmlformats.org/officeDocument/2006/relationships/hyperlink" Target="https://drive.google.com/file/d/1NjFoYHr8MhpwqVHIfwMvmBm_-VFAXR8H/view?usp=drivesdk" TargetMode="External"/><Relationship  Id="rId78" Type="http://schemas.openxmlformats.org/officeDocument/2006/relationships/hyperlink" Target="https://drive.google.com/file/d/1Ofm2T21gR52Lk3JW2X60gnuQvlqDaUlS/view?usp=drivesdk" TargetMode="External"/><Relationship  Id="rId79" Type="http://schemas.openxmlformats.org/officeDocument/2006/relationships/hyperlink" Target="https://drive.google.com/file/d/1yVWEdwYKHFWXlq9fo8HMIr1iVNDeZAVq/view?usp=drivesdk" TargetMode="External"/><Relationship  Id="rId8" Type="http://schemas.openxmlformats.org/officeDocument/2006/relationships/hyperlink" Target="https://drive.google.com/file/d/1DlkhZC6zx4X1ePRf8Y8uhMcxD0qR-4Bi/view?usp=drivesdk" TargetMode="External"/><Relationship  Id="rId80" Type="http://schemas.openxmlformats.org/officeDocument/2006/relationships/hyperlink" Target="https://drive.google.com/file/d/1zsJOyb2Rhm7Bn5fAAgXKIGbr1r8sPhPy/view?usp=drivesdk" TargetMode="External"/><Relationship  Id="rId81" Type="http://schemas.openxmlformats.org/officeDocument/2006/relationships/hyperlink" Target="https://drive.google.com/file/d/1Mn4c3wRr-HSmwgfSKwFXqWy0FcFcToIU/view?usp=drivesdk" TargetMode="External"/><Relationship  Id="rId82" Type="http://schemas.openxmlformats.org/officeDocument/2006/relationships/hyperlink" Target="https://drive.google.com/file/d/1_6WJC_DoSx8--JhZJAXYsWIz93n8XyNG/view?usp=drivesdk" TargetMode="External"/><Relationship  Id="rId83" Type="http://schemas.openxmlformats.org/officeDocument/2006/relationships/hyperlink" Target="https://drive.google.com/file/d/1fSYC7owYtxSQE-xFd3C8rirCTb4T9PvZ/view?usp=drivesdk" TargetMode="External"/><Relationship  Id="rId84" Type="http://schemas.openxmlformats.org/officeDocument/2006/relationships/hyperlink" Target="https://drive.google.com/file/d/19C90fz0HciC1zXLXJL2aMLbMyew0emr0/view?usp=drivesdk" TargetMode="External"/><Relationship  Id="rId85" Type="http://schemas.openxmlformats.org/officeDocument/2006/relationships/hyperlink" Target="https://drive.google.com/file/d/1eDqEm6JxLOK1m569fDZvOJS4s_TbzhZi/view?usp=drivesdk" TargetMode="External"/><Relationship  Id="rId86" Type="http://schemas.openxmlformats.org/officeDocument/2006/relationships/hyperlink" Target="https://drive.google.com/file/d/1y5D7znTorGoHhS3q7FGd4zaoB_XrncXE/view?usp=drivesdk" TargetMode="External"/><Relationship  Id="rId87" Type="http://schemas.openxmlformats.org/officeDocument/2006/relationships/hyperlink" Target="https://drive.google.com/file/d/1vu-7wCHTpQgizhBeq4hTLv5BOZH7Uhom/view?usp=drivesdk" TargetMode="External"/><Relationship  Id="rId88" Type="http://schemas.openxmlformats.org/officeDocument/2006/relationships/hyperlink" Target="https://drive.google.com/file/d/15P97fWMDjJArwqvONZ84QoIPjoovl3Kp/view?usp=drivesdk" TargetMode="External"/><Relationship  Id="rId89" Type="http://schemas.openxmlformats.org/officeDocument/2006/relationships/hyperlink" Target="https://drive.google.com/file/d/1EVgIH1QJS58z0DrTedMA9TxOTY4n9Q8X/view?usp=drivesdk" TargetMode="External"/><Relationship  Id="rId9" Type="http://schemas.openxmlformats.org/officeDocument/2006/relationships/hyperlink" Target="https://drive.google.com/file/d/1x1krMYK8FGAgL9BfX1-YAS-GXx8Rd9od/view?usp=drivesdk" TargetMode="External"/><Relationship  Id="rId90" Type="http://schemas.openxmlformats.org/officeDocument/2006/relationships/hyperlink" Target="https://drive.google.com/file/d/1mZOZt7WvduwNe9NNP1BfOw0tr2QcOVNB/view?usp=drivesdk" TargetMode="External"/><Relationship  Id="rId91" Type="http://schemas.openxmlformats.org/officeDocument/2006/relationships/hyperlink" Target="https://drive.google.com/file/d/1y_feiTCO1rvkw31NR8RslLPVRYotdwrl/view?usp=drivesdk" TargetMode="External"/><Relationship  Id="rId92" Type="http://schemas.openxmlformats.org/officeDocument/2006/relationships/hyperlink" Target="https://drive.google.com/file/d/1IhFNyjXkfw03tpdIpcTUzq-RGZposD54/view?usp=drivesdk" TargetMode="External"/><Relationship  Id="rId93" Type="http://schemas.openxmlformats.org/officeDocument/2006/relationships/hyperlink" Target="https://drive.google.com/file/d/109OjqjOttCrXLgBFmucLSKR545eEgcax/view?usp=drivesdk" TargetMode="External"/><Relationship  Id="rId94" Type="http://schemas.openxmlformats.org/officeDocument/2006/relationships/hyperlink" Target="https://drive.google.com/file/d/1AA8TAIcrnwIb2okmPmJo_nPmSiySmvRD/view?usp=drivesdk" TargetMode="External"/><Relationship  Id="rId95" Type="http://schemas.openxmlformats.org/officeDocument/2006/relationships/hyperlink" Target="https://drive.google.com/file/d/1NjKja8KP0FdKCtCgrOOppy1Q8ifdFa1E/view?usp=drivesdk" TargetMode="External"/><Relationship  Id="rId96" Type="http://schemas.openxmlformats.org/officeDocument/2006/relationships/hyperlink" Target="https://drive.google.com/file/d/1gE4fjSTptpy-WXhy1Iu_cV7cD2vMRX5Z/view?usp=drivesdk" TargetMode="External"/><Relationship  Id="rId97" Type="http://schemas.openxmlformats.org/officeDocument/2006/relationships/hyperlink" Target="https://drive.google.com/file/d/128BVo8O1eG_TkiXKCDGU1wgMwAWvvGDe/view?usp=drivesdk" TargetMode="External"/><Relationship  Id="rId98" Type="http://schemas.openxmlformats.org/officeDocument/2006/relationships/hyperlink" Target="https://drive.google.com/file/d/1Ge1SXHu1MrVtrpjnl46NofrhRtW3ddSX/view?usp=drivesdk" TargetMode="External"/><Relationship  Id="rId99" Type="http://schemas.openxmlformats.org/officeDocument/2006/relationships/hyperlink" Target="https://drive.google.com/file/d/1NzsmXh0YfiD1TPkj1clzfHHeGMfljfBP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9" Type="http://schemas.openxmlformats.org/officeDocument/2006/relationships/hyperlink" Target="https://drive.google.com/file/d/1E2ThvZa6uYZDQxF4irUhYQUKPhO2rqJo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LC2-5cLd-etqmKpmMeqlrrSEhmTZ9g4a/view?usp=drivesdk" TargetMode="External"/><Relationship  Id="rId10" Type="http://schemas.openxmlformats.org/officeDocument/2006/relationships/hyperlink" Target="https://drive.google.com/file/d/1G8gCyX6grkmKZemfv_RVm6TE-UgCgDkk/view?usp=drivesdk" TargetMode="External"/><Relationship  Id="rId11" Type="http://schemas.openxmlformats.org/officeDocument/2006/relationships/hyperlink" Target="https://drive.google.com/file/d/1VJv8AVyaWSRQT6z4W-aHMhL3PYvBc-oD/view?usp=drivesdk" TargetMode="External"/><Relationship  Id="rId12" Type="http://schemas.openxmlformats.org/officeDocument/2006/relationships/hyperlink" Target="https://drive.google.com/file/d/19EbhFU4xeVhKDZuDss6HbY45LQp6cTKE/view?usp=drivesdk" TargetMode="External"/><Relationship  Id="rId13" Type="http://schemas.openxmlformats.org/officeDocument/2006/relationships/hyperlink" Target="https://drive.google.com/file/d/1KrDK0eUPAgRnA0dBA63dtPfOMqY7BgyZ/view?usp=drivesdk" TargetMode="External"/><Relationship  Id="rId14" Type="http://schemas.openxmlformats.org/officeDocument/2006/relationships/hyperlink" Target="https://drive.google.com/file/d/1FgqU60t75_ag7Z53dxLp2NnBG1_MwSqP/view?usp=drivesdk" TargetMode="External"/><Relationship  Id="rId15" Type="http://schemas.openxmlformats.org/officeDocument/2006/relationships/hyperlink" Target="https://drive.google.com/file/d/1fbJEegb0HZbuGNXG7EDtpErMg_dIOHrx/view?usp=drivesdk" TargetMode="External"/><Relationship  Id="rId16" Type="http://schemas.openxmlformats.org/officeDocument/2006/relationships/hyperlink" Target="https://drive.google.com/file/d/1Ws3s5W7VEXtsUKLgVOWAuoc3GnLwF-zx/view?usp=drivesdk" TargetMode="External"/><Relationship  Id="rId17" Type="http://schemas.openxmlformats.org/officeDocument/2006/relationships/hyperlink" Target="https://drive.google.com/file/d/1EA3derEjWlT9vfMnCJzJX3Q-_hYUiaOY/view?usp=drivesdk" TargetMode="External"/><Relationship  Id="rId18" Type="http://schemas.openxmlformats.org/officeDocument/2006/relationships/hyperlink" Target="https://drive.google.com/file/d/1hgvuw2wIiUg6VnB9OKISg3DhBcw7OgI9/view?usp=drivesdk" TargetMode="External"/><Relationship  Id="rId19" Type="http://schemas.openxmlformats.org/officeDocument/2006/relationships/hyperlink" Target="https://drive.google.com/file/d/159BT_GO9SchY3qO-sK9fZg4H87gfmKd8/view?usp=drivesdk" TargetMode="External"/><Relationship  Id="rId2" Type="http://schemas.openxmlformats.org/officeDocument/2006/relationships/hyperlink" Target="https://drive.google.com/file/d/1c5po6fzRGhj-olnQkv5f6NWYqyln1CPm/view?usp=drivesdk" TargetMode="External"/><Relationship  Id="rId20" Type="http://schemas.openxmlformats.org/officeDocument/2006/relationships/hyperlink" Target="https://drive.google.com/file/d/1rXSdUT4GUYZNTp0vq7wUtTeIBlBSuTiH/view?usp=drivesdk" TargetMode="External"/><Relationship  Id="rId21" Type="http://schemas.openxmlformats.org/officeDocument/2006/relationships/hyperlink" Target="https://drive.google.com/file/d/1T8n7Xg44gpdLLBHQdBlAnBL9pCsC1hDr/view?usp=drivesdk" TargetMode="External"/><Relationship  Id="rId22" Type="http://schemas.openxmlformats.org/officeDocument/2006/relationships/hyperlink" Target="https://drive.google.com/file/d/1LJepmKp35DQCv8_zMRng1cGA4WlpdqmY/view?usp=drivesdk" TargetMode="External"/><Relationship  Id="rId23" Type="http://schemas.openxmlformats.org/officeDocument/2006/relationships/hyperlink" Target="https://drive.google.com/file/d/16qEIbqt9k8SYeiMrJ2rl8AYbgfK3MaUe/view?usp=drivesdk" TargetMode="External"/><Relationship  Id="rId24" Type="http://schemas.openxmlformats.org/officeDocument/2006/relationships/hyperlink" Target="https://drive.google.com/file/d/1ob18LxgMFgPdVwBxS5ujusyRVFmq-7L1/view?usp=drivesdk" TargetMode="External"/><Relationship  Id="rId25" Type="http://schemas.openxmlformats.org/officeDocument/2006/relationships/hyperlink" Target="https://drive.google.com/file/d/1wOuYeHtarx_tKiscCvISOnpheAA3LoXB/view?usp=drivesdk" TargetMode="External"/><Relationship  Id="rId26" Type="http://schemas.openxmlformats.org/officeDocument/2006/relationships/hyperlink" Target="https://drive.google.com/file/d/1lbETzF1tFEs_w8DSgGToTodeBlqUBv7e/view?usp=drivesdk" TargetMode="External"/><Relationship  Id="rId3" Type="http://schemas.openxmlformats.org/officeDocument/2006/relationships/hyperlink" Target="https://drive.google.com/file/d/1a-uOa9x9yXzP0J7iuLZMYddyYrHmxRr_/view?usp=drivesdk" TargetMode="External"/><Relationship  Id="rId4" Type="http://schemas.openxmlformats.org/officeDocument/2006/relationships/hyperlink" Target="https://drive.google.com/file/d/1rI8d6Poibl3WYDKH_BzLSCMMomf1ztqu/view?usp=drivesdk" TargetMode="External"/><Relationship  Id="rId5" Type="http://schemas.openxmlformats.org/officeDocument/2006/relationships/hyperlink" Target="https://drive.google.com/file/d/1n16mhGgL5hDAtQ6qFzxI9NFNfQykOU-X/view?usp=drivesdk" TargetMode="External"/><Relationship  Id="rId6" Type="http://schemas.openxmlformats.org/officeDocument/2006/relationships/hyperlink" Target="https://drive.google.com/file/d/1jPavbgFDMvDUXjvBkZi9V70kg1vXfd-Z/view?usp=drivesdk" TargetMode="External"/><Relationship  Id="rId7" Type="http://schemas.openxmlformats.org/officeDocument/2006/relationships/hyperlink" Target="https://drive.google.com/file/d/1DeMyC0OPH72maWPEeiYaheKsHDVIaxVk/view?usp=drivesdk" TargetMode="External"/><Relationship  Id="rId8" Type="http://schemas.openxmlformats.org/officeDocument/2006/relationships/hyperlink" Target="https://drive.google.com/file/d/1bR7N2h-ig_cWAOuLrsIQetSxxCKb-0lH/view?usp=drivesdk" TargetMode="External"/><Relationship  Id="rId9" Type="http://schemas.openxmlformats.org/officeDocument/2006/relationships/hyperlink" Target="https://drive.google.com/file/d/1CUCNL_PHH9-S4BWwksdXE3P4KVcHkKVb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6.57421875"/>
    <col bestFit="1" min="2" max="2" width="39.78125"/>
    <col bestFit="1" min="3" max="3" width="65.50390625"/>
  </cols>
  <sheetData>
    <row r="1" ht="12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2.75">
      <c r="A2" s="5"/>
      <c r="B2" s="6" t="s">
        <v>9</v>
      </c>
      <c r="C2" s="6" t="s">
        <v>10</v>
      </c>
      <c r="D2" s="7" t="s">
        <v>11</v>
      </c>
      <c r="E2" s="8">
        <v>46044</v>
      </c>
      <c r="F2" s="7" t="s">
        <v>12</v>
      </c>
      <c r="G2" s="9" t="s">
        <v>13</v>
      </c>
      <c r="H2" s="10" t="str">
        <f>HYPERLINK("https://drive.google.com/file/d/1VQP3JiJ97FtkwOUsPS27KGWckg_iRo6x/view?usp=drivesdk","Nirmita patel-EVS")</f>
        <v xml:space="preserve">Nirmita patel-EVS</v>
      </c>
      <c r="I2" s="11" t="s">
        <v>14</v>
      </c>
    </row>
    <row r="3" ht="12.75">
      <c r="A3" s="12" t="s">
        <v>15</v>
      </c>
      <c r="B3" s="13" t="s">
        <v>16</v>
      </c>
      <c r="C3" s="13" t="s">
        <v>17</v>
      </c>
      <c r="D3" s="14" t="s">
        <v>18</v>
      </c>
      <c r="E3" s="15">
        <v>46094</v>
      </c>
      <c r="F3" s="14" t="s">
        <v>19</v>
      </c>
      <c r="G3" s="16" t="s">
        <v>20</v>
      </c>
      <c r="H3" s="17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3" s="18" t="s">
        <v>21</v>
      </c>
    </row>
    <row r="4" ht="12.75">
      <c r="A4" s="12" t="s">
        <v>15</v>
      </c>
      <c r="B4" s="19" t="s">
        <v>22</v>
      </c>
      <c r="C4" s="13" t="s">
        <v>23</v>
      </c>
      <c r="D4" s="14" t="s">
        <v>24</v>
      </c>
      <c r="E4" s="15">
        <v>46094</v>
      </c>
      <c r="F4" s="14" t="s">
        <v>25</v>
      </c>
      <c r="G4" s="16" t="s">
        <v>26</v>
      </c>
      <c r="H4" s="17" t="str">
        <f>HYPERLINK("https://drive.google.com/file/d/1KpxMKt4cOXKwNR3G5ytOYBkK9K6XOb1P/view?usp=drivesdk","Mr. Ankit Parmar-Taxation")</f>
        <v xml:space="preserve">Mr. Ankit Parmar-Taxation</v>
      </c>
      <c r="I4" s="18" t="s">
        <v>27</v>
      </c>
    </row>
    <row r="5" ht="12.75">
      <c r="A5" s="12" t="s">
        <v>15</v>
      </c>
      <c r="B5" s="19" t="s">
        <v>28</v>
      </c>
      <c r="C5" s="13" t="s">
        <v>29</v>
      </c>
      <c r="D5" s="14" t="s">
        <v>30</v>
      </c>
      <c r="E5" s="15">
        <v>46094</v>
      </c>
      <c r="F5" s="14" t="s">
        <v>31</v>
      </c>
      <c r="G5" s="16" t="s">
        <v>32</v>
      </c>
      <c r="H5" s="17" t="str">
        <f>HYPERLINK("https://drive.google.com/file/d/14ugOgjSZfG1bTo9T-aWR3RHMKQLe82WU/view?usp=drivesdk","Ms.Shveta Shah-Human Resource Management")</f>
        <v xml:space="preserve">Ms.Shveta Shah-Human Resource Management</v>
      </c>
      <c r="I5" s="18" t="s">
        <v>27</v>
      </c>
    </row>
    <row r="6" ht="12.75">
      <c r="A6" s="12" t="s">
        <v>15</v>
      </c>
      <c r="B6" s="13" t="s">
        <v>33</v>
      </c>
      <c r="C6" s="13" t="s">
        <v>34</v>
      </c>
      <c r="D6" s="14" t="s">
        <v>35</v>
      </c>
      <c r="E6" s="15">
        <v>46094</v>
      </c>
      <c r="F6" s="14" t="s">
        <v>36</v>
      </c>
      <c r="G6" s="16" t="s">
        <v>37</v>
      </c>
      <c r="H6" s="17" t="str">
        <f>HYPERLINK("https://drive.google.com/file/d/1kqEfLQ6rl51-5USLK5M3MAmg2mzQtGg7/view?usp=drivesdk","Dr. Charu Goyal-Research Methodology")</f>
        <v xml:space="preserve">Dr. Charu Goyal-Research Methodology</v>
      </c>
      <c r="I6" s="18" t="s">
        <v>27</v>
      </c>
    </row>
    <row r="7" ht="12.75">
      <c r="A7" s="12" t="s">
        <v>15</v>
      </c>
      <c r="B7" s="19" t="s">
        <v>38</v>
      </c>
      <c r="C7" s="13" t="s">
        <v>39</v>
      </c>
      <c r="D7" s="14" t="s">
        <v>40</v>
      </c>
      <c r="E7" s="15">
        <v>46094</v>
      </c>
      <c r="F7" s="14" t="s">
        <v>41</v>
      </c>
      <c r="G7" s="16" t="s">
        <v>42</v>
      </c>
      <c r="H7" s="17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7" s="18" t="s">
        <v>27</v>
      </c>
    </row>
    <row r="8" ht="21.75">
      <c r="A8" s="12" t="s">
        <v>15</v>
      </c>
      <c r="B8" s="19" t="s">
        <v>43</v>
      </c>
      <c r="C8" s="19" t="s">
        <v>44</v>
      </c>
      <c r="D8" s="14" t="s">
        <v>45</v>
      </c>
      <c r="E8" s="15">
        <v>46094</v>
      </c>
      <c r="F8" s="14" t="s">
        <v>46</v>
      </c>
      <c r="G8" s="16" t="s">
        <v>47</v>
      </c>
      <c r="H8" s="17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8" s="18" t="s">
        <v>48</v>
      </c>
    </row>
    <row r="9" ht="12.75">
      <c r="A9" s="12" t="s">
        <v>15</v>
      </c>
      <c r="B9" s="19" t="s">
        <v>49</v>
      </c>
      <c r="C9" s="20" t="s">
        <v>50</v>
      </c>
      <c r="D9" s="14" t="s">
        <v>51</v>
      </c>
      <c r="E9" s="15">
        <v>46094</v>
      </c>
      <c r="F9" s="14" t="s">
        <v>52</v>
      </c>
      <c r="G9" s="16" t="s">
        <v>53</v>
      </c>
      <c r="H9" s="17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9" s="18" t="s">
        <v>54</v>
      </c>
    </row>
    <row r="10" ht="12.75">
      <c r="A10" s="12" t="s">
        <v>15</v>
      </c>
      <c r="B10" s="19" t="s">
        <v>55</v>
      </c>
      <c r="C10" s="13" t="s">
        <v>56</v>
      </c>
      <c r="D10" s="14" t="s">
        <v>57</v>
      </c>
      <c r="E10" s="15">
        <v>46094</v>
      </c>
      <c r="F10" s="14" t="s">
        <v>58</v>
      </c>
      <c r="G10" s="16" t="s">
        <v>59</v>
      </c>
      <c r="H10" s="17" t="str">
        <f>HYPERLINK("https://drive.google.com/file/d/1x1krMYK8FGAgL9BfX1-YAS-GXx8Rd9od/view?usp=drivesdk","Mr. Amit Rathod-IB: Import Export Management")</f>
        <v xml:space="preserve">Mr. Amit Rathod-IB: Import Export Management</v>
      </c>
      <c r="I10" s="18" t="s">
        <v>60</v>
      </c>
    </row>
    <row r="11" ht="12.75">
      <c r="A11" s="12" t="s">
        <v>15</v>
      </c>
      <c r="B11" s="19" t="s">
        <v>61</v>
      </c>
      <c r="C11" s="13" t="s">
        <v>62</v>
      </c>
      <c r="D11" s="14" t="s">
        <v>63</v>
      </c>
      <c r="E11" s="15">
        <v>46094</v>
      </c>
      <c r="F11" s="14" t="s">
        <v>64</v>
      </c>
      <c r="G11" s="16" t="s">
        <v>65</v>
      </c>
      <c r="H11" s="17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1" s="18" t="s">
        <v>60</v>
      </c>
    </row>
    <row r="12" ht="12.75">
      <c r="A12" s="12" t="s">
        <v>15</v>
      </c>
      <c r="B12" s="13" t="s">
        <v>66</v>
      </c>
      <c r="C12" s="13" t="s">
        <v>67</v>
      </c>
      <c r="D12" s="14" t="s">
        <v>68</v>
      </c>
      <c r="E12" s="15">
        <v>46094</v>
      </c>
      <c r="F12" s="14" t="s">
        <v>69</v>
      </c>
      <c r="G12" s="16" t="s">
        <v>70</v>
      </c>
      <c r="H12" s="17" t="str">
        <f>HYPERLINK("https://drive.google.com/file/d/11JU-V0FKj7GE9x_svf3Zfd9rU_p2E5J5/view?usp=drivesdk","Dr. Bansi pandya-Business Communication")</f>
        <v xml:space="preserve">Dr. Bansi pandya-Business Communication</v>
      </c>
      <c r="I12" s="18" t="s">
        <v>60</v>
      </c>
    </row>
    <row r="13" ht="12.75">
      <c r="A13" s="12" t="s">
        <v>15</v>
      </c>
      <c r="B13" s="19" t="s">
        <v>71</v>
      </c>
      <c r="C13" s="13" t="s">
        <v>72</v>
      </c>
      <c r="D13" s="14" t="s">
        <v>73</v>
      </c>
      <c r="E13" s="15">
        <v>46094</v>
      </c>
      <c r="F13" s="14" t="s">
        <v>74</v>
      </c>
      <c r="G13" s="16" t="s">
        <v>75</v>
      </c>
      <c r="H13" s="17" t="str">
        <f>HYPERLINK("https://drive.google.com/file/d/1pai4CI2hhtKUL-IUqV0Yh4owP9umVJUg/view?usp=drivesdk","Mr. Jitin Kumar-Marketing Management")</f>
        <v xml:space="preserve">Mr. Jitin Kumar-Marketing Management</v>
      </c>
      <c r="I13" s="18" t="s">
        <v>60</v>
      </c>
    </row>
    <row r="14" ht="12.75">
      <c r="A14" s="12" t="s">
        <v>15</v>
      </c>
      <c r="B14" s="19" t="s">
        <v>76</v>
      </c>
      <c r="C14" s="13" t="s">
        <v>29</v>
      </c>
      <c r="D14" s="14" t="s">
        <v>77</v>
      </c>
      <c r="E14" s="15">
        <v>46106</v>
      </c>
      <c r="F14" s="14" t="s">
        <v>78</v>
      </c>
      <c r="G14" s="16" t="s">
        <v>79</v>
      </c>
      <c r="H14" s="17" t="str">
        <f>HYPERLINK("https://drive.google.com/file/d/1p5WBdZuOA21rpQiHGMUa0ZE03zMqZXhv/view?usp=drivesdk","Ms. Priyanka Patel-Human Resource Management")</f>
        <v xml:space="preserve">Ms. Priyanka Patel-Human Resource Management</v>
      </c>
      <c r="I14" s="18" t="s">
        <v>60</v>
      </c>
    </row>
    <row r="15" ht="12.75">
      <c r="A15" s="12" t="s">
        <v>15</v>
      </c>
      <c r="B15" s="19" t="s">
        <v>80</v>
      </c>
      <c r="C15" s="13" t="s">
        <v>81</v>
      </c>
      <c r="D15" s="14" t="s">
        <v>82</v>
      </c>
      <c r="E15" s="15">
        <v>46094</v>
      </c>
      <c r="F15" s="14" t="s">
        <v>83</v>
      </c>
      <c r="G15" s="16" t="s">
        <v>84</v>
      </c>
      <c r="H15" s="17" t="str">
        <f>HYPERLINK("https://drive.google.com/file/d/1DTlcTiht5Ouj5MUwgm0iefzbMjtGECoI/view?usp=drivesdk","Ms. Kajal Gandhi-Finance for Manager")</f>
        <v xml:space="preserve">Ms. Kajal Gandhi-Finance for Manager</v>
      </c>
      <c r="I15" s="18" t="s">
        <v>85</v>
      </c>
    </row>
    <row r="16" ht="12.75">
      <c r="A16" s="12" t="s">
        <v>15</v>
      </c>
      <c r="B16" s="19" t="s">
        <v>86</v>
      </c>
      <c r="C16" s="13" t="s">
        <v>87</v>
      </c>
      <c r="D16" s="14" t="s">
        <v>88</v>
      </c>
      <c r="E16" s="15">
        <v>46106</v>
      </c>
      <c r="F16" s="14" t="s">
        <v>89</v>
      </c>
      <c r="G16" s="16" t="s">
        <v>90</v>
      </c>
      <c r="H16" s="17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6" s="18" t="s">
        <v>85</v>
      </c>
    </row>
    <row r="17" ht="12.75">
      <c r="A17" s="12" t="s">
        <v>15</v>
      </c>
      <c r="B17" s="19" t="s">
        <v>91</v>
      </c>
      <c r="C17" s="13" t="s">
        <v>92</v>
      </c>
      <c r="D17" s="14" t="s">
        <v>93</v>
      </c>
      <c r="E17" s="15">
        <v>46106</v>
      </c>
      <c r="F17" s="14" t="s">
        <v>94</v>
      </c>
      <c r="G17" s="16" t="s">
        <v>95</v>
      </c>
      <c r="H17" s="17" t="str">
        <f>HYPERLINK("https://drive.google.com/file/d/1Ot_S0yHVyIkjWxiopnd_MQ2TA0Q3EGoD/view?usp=drivesdk","Mr.Shivam Shukla-Physical Education – I")</f>
        <v xml:space="preserve">Mr.Shivam Shukla-Physical Education – I</v>
      </c>
      <c r="I17" s="18" t="s">
        <v>85</v>
      </c>
    </row>
    <row r="18" ht="12.75">
      <c r="A18" s="12" t="s">
        <v>15</v>
      </c>
      <c r="B18" s="19" t="s">
        <v>96</v>
      </c>
      <c r="C18" s="13" t="s">
        <v>97</v>
      </c>
      <c r="D18" s="14" t="s">
        <v>98</v>
      </c>
      <c r="E18" s="15">
        <v>46106</v>
      </c>
      <c r="F18" s="14" t="s">
        <v>99</v>
      </c>
      <c r="G18" s="16" t="s">
        <v>100</v>
      </c>
      <c r="H18" s="17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8" s="18" t="s">
        <v>85</v>
      </c>
    </row>
    <row r="19" ht="12.75">
      <c r="A19" s="12" t="s">
        <v>15</v>
      </c>
      <c r="B19" s="19" t="s">
        <v>101</v>
      </c>
      <c r="C19" s="13" t="s">
        <v>102</v>
      </c>
      <c r="D19" s="14" t="s">
        <v>103</v>
      </c>
      <c r="E19" s="15">
        <v>46106</v>
      </c>
      <c r="F19" s="14" t="s">
        <v>104</v>
      </c>
      <c r="G19" s="16" t="s">
        <v>105</v>
      </c>
      <c r="H19" s="17" t="str">
        <f>HYPERLINK("https://drive.google.com/file/d/1gssyKJmRAltP2gY55wMGZCEbn7MNMM8r/view?usp=drivesdk","Ms. Ketki Naik-Fundamentals of Economics")</f>
        <v xml:space="preserve">Ms. Ketki Naik-Fundamentals of Economics</v>
      </c>
      <c r="I19" s="18" t="s">
        <v>85</v>
      </c>
    </row>
    <row r="20" ht="45">
      <c r="A20" s="21" t="s">
        <v>106</v>
      </c>
      <c r="B20" s="22" t="s">
        <v>107</v>
      </c>
      <c r="C20" s="22" t="s">
        <v>108</v>
      </c>
      <c r="D20" s="23" t="s">
        <v>109</v>
      </c>
      <c r="E20" s="24">
        <v>46083</v>
      </c>
      <c r="F20" s="23" t="s">
        <v>110</v>
      </c>
      <c r="G20" s="25" t="s">
        <v>111</v>
      </c>
      <c r="H20" s="26" t="str">
        <f>HYPERLINK("https://drive.google.com/file/d/1aIVFf4U5rWG6QA3MMo7l3TC9YhdHrM5C/view?usp=drivesdk","Dr. Parth Chhabra-Micro Economics")</f>
        <v xml:space="preserve">Dr. Parth Chhabra-Micro Economics</v>
      </c>
      <c r="I20" s="27" t="s">
        <v>112</v>
      </c>
    </row>
    <row r="21" ht="150">
      <c r="A21" s="21" t="s">
        <v>106</v>
      </c>
      <c r="B21" s="22" t="s">
        <v>113</v>
      </c>
      <c r="C21" s="22" t="s">
        <v>114</v>
      </c>
      <c r="D21" s="23" t="s">
        <v>115</v>
      </c>
      <c r="E21" s="24">
        <v>46081</v>
      </c>
      <c r="F21" s="23" t="s">
        <v>116</v>
      </c>
      <c r="G21" s="25" t="s">
        <v>117</v>
      </c>
      <c r="H21" s="26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1" s="27" t="s">
        <v>112</v>
      </c>
    </row>
    <row r="22" ht="45">
      <c r="A22" s="21" t="s">
        <v>106</v>
      </c>
      <c r="B22" s="22" t="s">
        <v>118</v>
      </c>
      <c r="C22" s="22" t="s">
        <v>119</v>
      </c>
      <c r="D22" s="23" t="s">
        <v>120</v>
      </c>
      <c r="E22" s="24">
        <v>46072</v>
      </c>
      <c r="F22" s="23" t="s">
        <v>121</v>
      </c>
      <c r="G22" s="25" t="s">
        <v>122</v>
      </c>
      <c r="H22" s="26" t="str">
        <f>HYPERLINK("https://drive.google.com/file/d/1_hg58-TS-0OBRKfh693vsF40FNhthdSv/view?usp=drivesdk","Dr. Ritesh Patel-Financial Management")</f>
        <v xml:space="preserve">Dr. Ritesh Patel-Financial Management</v>
      </c>
      <c r="I22" s="27" t="s">
        <v>112</v>
      </c>
    </row>
    <row r="23" ht="75">
      <c r="A23" s="21" t="s">
        <v>106</v>
      </c>
      <c r="B23" s="22" t="s">
        <v>123</v>
      </c>
      <c r="C23" s="22" t="s">
        <v>124</v>
      </c>
      <c r="D23" s="23" t="s">
        <v>125</v>
      </c>
      <c r="E23" s="24">
        <v>46077</v>
      </c>
      <c r="F23" s="23" t="s">
        <v>126</v>
      </c>
      <c r="G23" s="25" t="s">
        <v>127</v>
      </c>
      <c r="H23" s="26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3" s="27" t="s">
        <v>112</v>
      </c>
    </row>
    <row r="24" ht="45">
      <c r="A24" s="21" t="s">
        <v>106</v>
      </c>
      <c r="B24" s="22" t="s">
        <v>128</v>
      </c>
      <c r="C24" s="22" t="s">
        <v>129</v>
      </c>
      <c r="D24" s="23" t="s">
        <v>130</v>
      </c>
      <c r="E24" s="24">
        <v>46072</v>
      </c>
      <c r="F24" s="23" t="s">
        <v>131</v>
      </c>
      <c r="G24" s="25" t="s">
        <v>132</v>
      </c>
      <c r="H24" s="26" t="str">
        <f>HYPERLINK("https://drive.google.com/file/d/12McULl2553Az5axxsFAwOVZeEF7klmzi/view?usp=drivesdk","Mr. Yogesh Narayan-Business Law")</f>
        <v xml:space="preserve">Mr. Yogesh Narayan-Business Law</v>
      </c>
      <c r="I24" s="27" t="s">
        <v>112</v>
      </c>
    </row>
    <row r="25" ht="135">
      <c r="A25" s="21" t="s">
        <v>106</v>
      </c>
      <c r="B25" s="22" t="s">
        <v>133</v>
      </c>
      <c r="C25" s="22" t="s">
        <v>134</v>
      </c>
      <c r="D25" s="23" t="s">
        <v>135</v>
      </c>
      <c r="E25" s="24">
        <v>46083</v>
      </c>
      <c r="F25" s="23" t="s">
        <v>136</v>
      </c>
      <c r="G25" s="25" t="s">
        <v>137</v>
      </c>
      <c r="H25" s="26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5" s="27" t="s">
        <v>138</v>
      </c>
    </row>
    <row r="26" ht="90">
      <c r="A26" s="21" t="s">
        <v>106</v>
      </c>
      <c r="B26" s="22" t="s">
        <v>139</v>
      </c>
      <c r="C26" s="22" t="s">
        <v>140</v>
      </c>
      <c r="D26" s="23" t="s">
        <v>141</v>
      </c>
      <c r="E26" s="24">
        <v>46083</v>
      </c>
      <c r="F26" s="23" t="s">
        <v>142</v>
      </c>
      <c r="G26" s="25" t="s">
        <v>143</v>
      </c>
      <c r="H26" s="26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6" s="27" t="s">
        <v>138</v>
      </c>
    </row>
    <row r="27" ht="90">
      <c r="A27" s="21" t="s">
        <v>106</v>
      </c>
      <c r="B27" s="22" t="s">
        <v>144</v>
      </c>
      <c r="C27" s="22" t="s">
        <v>145</v>
      </c>
      <c r="D27" s="23" t="s">
        <v>146</v>
      </c>
      <c r="E27" s="24">
        <v>46083</v>
      </c>
      <c r="F27" s="23" t="s">
        <v>147</v>
      </c>
      <c r="G27" s="25" t="s">
        <v>148</v>
      </c>
      <c r="H27" s="26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7" s="27" t="s">
        <v>138</v>
      </c>
    </row>
    <row r="28" ht="150">
      <c r="A28" s="21" t="s">
        <v>106</v>
      </c>
      <c r="B28" s="22" t="s">
        <v>149</v>
      </c>
      <c r="C28" s="22" t="s">
        <v>150</v>
      </c>
      <c r="D28" s="23" t="s">
        <v>151</v>
      </c>
      <c r="E28" s="24">
        <v>46083</v>
      </c>
      <c r="F28" s="23" t="s">
        <v>152</v>
      </c>
      <c r="G28" s="25" t="s">
        <v>153</v>
      </c>
      <c r="H28" s="26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8" s="27" t="s">
        <v>138</v>
      </c>
    </row>
    <row r="29" ht="180">
      <c r="A29" s="21" t="s">
        <v>106</v>
      </c>
      <c r="B29" s="22" t="s">
        <v>154</v>
      </c>
      <c r="C29" s="22" t="s">
        <v>155</v>
      </c>
      <c r="D29" s="28" t="s">
        <v>156</v>
      </c>
      <c r="E29" s="24">
        <v>46077</v>
      </c>
      <c r="F29" s="23" t="s">
        <v>157</v>
      </c>
      <c r="G29" s="25" t="s">
        <v>158</v>
      </c>
      <c r="H29" s="26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9" s="27" t="s">
        <v>138</v>
      </c>
    </row>
    <row r="30" ht="38.25">
      <c r="A30" s="29" t="s">
        <v>159</v>
      </c>
      <c r="B30" s="30" t="s">
        <v>160</v>
      </c>
      <c r="C30" s="31" t="s">
        <v>161</v>
      </c>
      <c r="D30" s="32" t="s">
        <v>162</v>
      </c>
      <c r="E30" s="33">
        <v>45979</v>
      </c>
      <c r="F30" s="34" t="s">
        <v>163</v>
      </c>
      <c r="G30" s="35" t="s">
        <v>164</v>
      </c>
      <c r="H30" s="36" t="str">
        <f>HYPERLINK("https://drive.google.com/file/d/1gWiMpnq3pBaRjokxFAdpDi8AEjkknCbS/view?usp=drivesdk","Mr. Digesh Shah-Analog Electronics Circuits")</f>
        <v xml:space="preserve">Mr. Digesh Shah-Analog Electronics Circuits</v>
      </c>
      <c r="I30" s="37" t="s">
        <v>165</v>
      </c>
    </row>
    <row r="31" ht="51">
      <c r="A31" s="29" t="s">
        <v>159</v>
      </c>
      <c r="B31" s="38" t="s">
        <v>166</v>
      </c>
      <c r="C31" s="38" t="s">
        <v>167</v>
      </c>
      <c r="D31" s="32" t="s">
        <v>168</v>
      </c>
      <c r="E31" s="39">
        <v>46112</v>
      </c>
      <c r="F31" s="34" t="s">
        <v>169</v>
      </c>
      <c r="G31" s="40" t="s">
        <v>170</v>
      </c>
      <c r="H31" s="36" t="str">
        <f>HYPERLINK("https://drive.google.com/file/d/1P-K_a-6fZ7ESaRUwHJXzJyI2OTffGsQs/view?usp=drivesdk","M Krishnam Raju-Bio Medical Electronics")</f>
        <v xml:space="preserve">M Krishnam Raju-Bio Medical Electronics</v>
      </c>
      <c r="I31" s="37" t="s">
        <v>165</v>
      </c>
    </row>
    <row r="32" ht="38.25">
      <c r="A32" s="29" t="s">
        <v>159</v>
      </c>
      <c r="B32" s="30" t="s">
        <v>171</v>
      </c>
      <c r="C32" s="38" t="s">
        <v>172</v>
      </c>
      <c r="D32" s="32" t="s">
        <v>173</v>
      </c>
      <c r="E32" s="39">
        <v>46112</v>
      </c>
      <c r="F32" s="34" t="s">
        <v>174</v>
      </c>
      <c r="G32" s="35" t="s">
        <v>175</v>
      </c>
      <c r="H32" s="36" t="str">
        <f>HYPERLINK("https://drive.google.com/file/d/1HAkDfBT0WdddZiWZLQenP3KTueA28fr6/view?usp=drivesdk","Ms. Sona D Solanki-Artificial Intelligence ")</f>
        <v xml:space="preserve">Ms. Sona D Solanki-Artificial Intelligence </v>
      </c>
      <c r="I32" s="37" t="s">
        <v>165</v>
      </c>
    </row>
    <row r="33" ht="51">
      <c r="A33" s="29" t="s">
        <v>159</v>
      </c>
      <c r="B33" s="41" t="s">
        <v>176</v>
      </c>
      <c r="C33" s="38" t="s">
        <v>177</v>
      </c>
      <c r="D33" s="32" t="s">
        <v>178</v>
      </c>
      <c r="E33" s="39">
        <v>46095</v>
      </c>
      <c r="F33" s="34" t="s">
        <v>179</v>
      </c>
      <c r="G33" s="35" t="s">
        <v>180</v>
      </c>
      <c r="H33" s="36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3" s="37" t="s">
        <v>165</v>
      </c>
    </row>
    <row r="34" ht="38.25">
      <c r="A34" s="29" t="s">
        <v>159</v>
      </c>
      <c r="B34" s="41" t="s">
        <v>181</v>
      </c>
      <c r="C34" s="38" t="s">
        <v>182</v>
      </c>
      <c r="D34" s="32" t="s">
        <v>183</v>
      </c>
      <c r="E34" s="39">
        <v>46097</v>
      </c>
      <c r="F34" s="34" t="s">
        <v>184</v>
      </c>
      <c r="G34" s="35" t="s">
        <v>185</v>
      </c>
      <c r="H34" s="36" t="str">
        <f>HYPERLINK("https://drive.google.com/file/d/1R16fSOL6ojUaOpbDeD170peuOr0IBb3N/view?usp=drivesdk","Mr. Vikas Sharma-Cloud Foundation ")</f>
        <v xml:space="preserve">Mr. Vikas Sharma-Cloud Foundation </v>
      </c>
      <c r="I34" s="37" t="s">
        <v>165</v>
      </c>
    </row>
    <row r="35" ht="51">
      <c r="A35" s="29" t="s">
        <v>159</v>
      </c>
      <c r="B35" s="41" t="s">
        <v>186</v>
      </c>
      <c r="C35" s="38" t="s">
        <v>187</v>
      </c>
      <c r="D35" s="32" t="s">
        <v>188</v>
      </c>
      <c r="E35" s="39">
        <v>46112</v>
      </c>
      <c r="F35" s="34" t="s">
        <v>189</v>
      </c>
      <c r="G35" s="35" t="s">
        <v>190</v>
      </c>
      <c r="H35" s="36" t="str">
        <f>HYPERLINK("https://drive.google.com/file/d/1Jntrmes_6k6PqPSBN2yLp10lMNVhi_At/view?usp=drivesdk","Mr. Ravi -Principles of Operating System")</f>
        <v xml:space="preserve">Mr. Ravi -Principles of Operating System</v>
      </c>
      <c r="I35" s="37" t="s">
        <v>165</v>
      </c>
    </row>
    <row r="36" ht="51">
      <c r="A36" s="29" t="s">
        <v>159</v>
      </c>
      <c r="B36" s="41" t="s">
        <v>191</v>
      </c>
      <c r="C36" s="38" t="s">
        <v>192</v>
      </c>
      <c r="D36" s="32" t="s">
        <v>193</v>
      </c>
      <c r="E36" s="39">
        <v>46119</v>
      </c>
      <c r="F36" s="34" t="s">
        <v>194</v>
      </c>
      <c r="G36" s="35" t="s">
        <v>195</v>
      </c>
      <c r="H36" s="36" t="str">
        <f>HYPERLINK("https://drive.google.com/file/d/1CgTm4vN_iiHiuf9z4M5xLxrwh5L5a-Tm/view?usp=drivesdk","Dr. K. Himabindu-Design of Data Structures")</f>
        <v xml:space="preserve">Dr. K. Himabindu-Design of Data Structures</v>
      </c>
      <c r="I36" s="37" t="s">
        <v>165</v>
      </c>
    </row>
    <row r="37" ht="25.5">
      <c r="A37" s="29" t="s">
        <v>159</v>
      </c>
      <c r="B37" s="41" t="s">
        <v>196</v>
      </c>
      <c r="C37" s="38" t="s">
        <v>197</v>
      </c>
      <c r="D37" s="32" t="s">
        <v>198</v>
      </c>
      <c r="E37" s="39">
        <v>46092</v>
      </c>
      <c r="F37" s="34" t="s">
        <v>199</v>
      </c>
      <c r="G37" s="35" t="s">
        <v>200</v>
      </c>
      <c r="H37" s="36" t="str">
        <f>HYPERLINK("https://drive.google.com/file/d/1M3rNkYnQf94spUtHSjBtUhHy7c5lEEAw/view?usp=drivesdk","Mr. Dhruv Rana-Web Designing")</f>
        <v xml:space="preserve">Mr. Dhruv Rana-Web Designing</v>
      </c>
      <c r="I37" s="37" t="s">
        <v>165</v>
      </c>
    </row>
    <row r="38" ht="89.25">
      <c r="A38" s="29" t="s">
        <v>159</v>
      </c>
      <c r="B38" s="41" t="s">
        <v>201</v>
      </c>
      <c r="C38" s="38" t="s">
        <v>202</v>
      </c>
      <c r="D38" s="32" t="s">
        <v>203</v>
      </c>
      <c r="E38" s="39">
        <v>45934</v>
      </c>
      <c r="F38" s="34" t="s">
        <v>204</v>
      </c>
      <c r="G38" s="35" t="s">
        <v>205</v>
      </c>
      <c r="H38" s="36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8" s="37" t="s">
        <v>206</v>
      </c>
    </row>
    <row r="39" ht="51">
      <c r="A39" s="29" t="s">
        <v>159</v>
      </c>
      <c r="B39" s="41" t="s">
        <v>207</v>
      </c>
      <c r="C39" s="38" t="s">
        <v>208</v>
      </c>
      <c r="D39" s="32" t="s">
        <v>209</v>
      </c>
      <c r="E39" s="39">
        <v>45933</v>
      </c>
      <c r="F39" s="34" t="s">
        <v>210</v>
      </c>
      <c r="G39" s="35" t="s">
        <v>211</v>
      </c>
      <c r="H39" s="36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9" s="37" t="s">
        <v>206</v>
      </c>
    </row>
    <row r="40" ht="38.25">
      <c r="A40" s="29" t="s">
        <v>159</v>
      </c>
      <c r="B40" s="41" t="s">
        <v>212</v>
      </c>
      <c r="C40" s="38" t="s">
        <v>213</v>
      </c>
      <c r="D40" s="32" t="s">
        <v>214</v>
      </c>
      <c r="E40" s="39">
        <v>45933</v>
      </c>
      <c r="F40" s="34" t="s">
        <v>215</v>
      </c>
      <c r="G40" s="35" t="s">
        <v>216</v>
      </c>
      <c r="H40" s="36" t="str">
        <f>HYPERLINK("https://drive.google.com/file/d/1Le0NYFSPp8dOuLnpDkTrIekaU41fHQVN/view?usp=drivesdk","Dr. Sandeep Wadekar -Operating system ")</f>
        <v xml:space="preserve">Dr. Sandeep Wadekar -Operating system </v>
      </c>
      <c r="I40" s="37" t="s">
        <v>206</v>
      </c>
    </row>
    <row r="41" ht="63.75">
      <c r="A41" s="29" t="s">
        <v>159</v>
      </c>
      <c r="B41" s="41" t="s">
        <v>217</v>
      </c>
      <c r="C41" s="38" t="s">
        <v>218</v>
      </c>
      <c r="D41" s="32" t="s">
        <v>219</v>
      </c>
      <c r="E41" s="39">
        <v>46108</v>
      </c>
      <c r="F41" s="34" t="s">
        <v>220</v>
      </c>
      <c r="G41" s="35" t="s">
        <v>221</v>
      </c>
      <c r="H41" s="36" t="str">
        <f>HYPERLINK("https://drive.google.com/file/d/156a2MZK_GBFe29cTXpPkXyTfSZsRYIIY/view?usp=drivesdk","Prof. Vishal Jain-Elements of Thermal and Fluid System")</f>
        <v xml:space="preserve">Prof. Vishal Jain-Elements of Thermal and Fluid System</v>
      </c>
      <c r="I41" s="37" t="s">
        <v>206</v>
      </c>
    </row>
    <row r="42" ht="51">
      <c r="A42" s="29" t="s">
        <v>159</v>
      </c>
      <c r="B42" s="41" t="s">
        <v>222</v>
      </c>
      <c r="C42" s="38" t="s">
        <v>223</v>
      </c>
      <c r="D42" s="32" t="s">
        <v>224</v>
      </c>
      <c r="E42" s="39">
        <v>46108</v>
      </c>
      <c r="F42" s="34" t="s">
        <v>225</v>
      </c>
      <c r="G42" s="35" t="s">
        <v>226</v>
      </c>
      <c r="H42" s="36" t="str">
        <f>HYPERLINK("https://drive.google.com/file/d/1oewzgJ04y8j1yq4YT2jgVPrKme7zJ1Y9/view?usp=drivesdk","Mr. Manan Shah-Engineering Graphics &amp; Design")</f>
        <v xml:space="preserve">Mr. Manan Shah-Engineering Graphics &amp; Design</v>
      </c>
      <c r="I42" s="37" t="s">
        <v>206</v>
      </c>
    </row>
    <row r="43" ht="63.75">
      <c r="A43" s="29" t="s">
        <v>159</v>
      </c>
      <c r="B43" s="41" t="s">
        <v>227</v>
      </c>
      <c r="C43" s="38" t="s">
        <v>228</v>
      </c>
      <c r="D43" s="32" t="s">
        <v>229</v>
      </c>
      <c r="E43" s="39">
        <v>46108</v>
      </c>
      <c r="F43" s="34" t="s">
        <v>230</v>
      </c>
      <c r="G43" s="35" t="s">
        <v>231</v>
      </c>
      <c r="H43" s="36" t="str">
        <f>HYPERLINK("https://drive.google.com/file/d/1XPDn36om-RW-QqO92Mb8pdNS_ryJ_HYS/view?usp=drivesdk","Ms. Jalpa Zalawadia-Workshop &amp; Manufacturing Practice")</f>
        <v xml:space="preserve">Ms. Jalpa Zalawadia-Workshop &amp; Manufacturing Practice</v>
      </c>
      <c r="I43" s="37" t="s">
        <v>206</v>
      </c>
    </row>
    <row r="44" ht="51">
      <c r="A44" s="29" t="s">
        <v>159</v>
      </c>
      <c r="B44" s="41" t="s">
        <v>232</v>
      </c>
      <c r="C44" s="38" t="s">
        <v>208</v>
      </c>
      <c r="D44" s="32" t="s">
        <v>233</v>
      </c>
      <c r="E44" s="39">
        <v>46123</v>
      </c>
      <c r="F44" s="34" t="s">
        <v>234</v>
      </c>
      <c r="G44" s="35" t="s">
        <v>235</v>
      </c>
      <c r="H44" s="36" t="str">
        <f>HYPERLINK("https://drive.google.com/file/d/1UGZaxVmJd_XB3ntsKnL-POnLp8c3eh3E/view?usp=drivesdk","Dr. Rohit-Programming for Problem Solving")</f>
        <v xml:space="preserve">Dr. Rohit-Programming for Problem Solving</v>
      </c>
      <c r="I44" s="37" t="s">
        <v>206</v>
      </c>
    </row>
    <row r="45" ht="51">
      <c r="A45" s="29" t="s">
        <v>159</v>
      </c>
      <c r="B45" s="41" t="s">
        <v>236</v>
      </c>
      <c r="C45" s="38" t="s">
        <v>237</v>
      </c>
      <c r="D45" s="32" t="s">
        <v>238</v>
      </c>
      <c r="E45" s="39">
        <v>46129</v>
      </c>
      <c r="F45" s="34" t="s">
        <v>239</v>
      </c>
      <c r="G45" s="35" t="s">
        <v>240</v>
      </c>
      <c r="H45" s="36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5" s="37" t="s">
        <v>206</v>
      </c>
    </row>
    <row r="46" ht="51">
      <c r="A46" s="29" t="s">
        <v>159</v>
      </c>
      <c r="B46" s="41" t="s">
        <v>241</v>
      </c>
      <c r="C46" s="38" t="s">
        <v>242</v>
      </c>
      <c r="D46" s="32" t="s">
        <v>243</v>
      </c>
      <c r="E46" s="39">
        <v>46125</v>
      </c>
      <c r="F46" s="34" t="s">
        <v>244</v>
      </c>
      <c r="G46" s="35" t="s">
        <v>245</v>
      </c>
      <c r="H46" s="36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6" s="37" t="s">
        <v>246</v>
      </c>
    </row>
    <row r="47" ht="63.75">
      <c r="A47" s="29" t="s">
        <v>159</v>
      </c>
      <c r="B47" s="41" t="s">
        <v>247</v>
      </c>
      <c r="C47" s="38" t="s">
        <v>248</v>
      </c>
      <c r="D47" s="32" t="s">
        <v>249</v>
      </c>
      <c r="E47" s="39">
        <v>46129</v>
      </c>
      <c r="F47" s="34" t="s">
        <v>250</v>
      </c>
      <c r="G47" s="35" t="s">
        <v>251</v>
      </c>
      <c r="H47" s="36" t="str">
        <f>HYPERLINK("https://drive.google.com/file/d/1zTrS1gvSa8i85Bl_0XlVfwrmcUpN29Cx/view?usp=drivesdk","Dr. A. Nithya-MEARN Stack Web Development")</f>
        <v xml:space="preserve">Dr. A. Nithya-MEARN Stack Web Development</v>
      </c>
      <c r="I47" s="37" t="s">
        <v>246</v>
      </c>
    </row>
    <row r="48" ht="63.75">
      <c r="A48" s="29" t="s">
        <v>159</v>
      </c>
      <c r="B48" s="41" t="s">
        <v>252</v>
      </c>
      <c r="C48" s="38" t="s">
        <v>253</v>
      </c>
      <c r="D48" s="32" t="s">
        <v>254</v>
      </c>
      <c r="E48" s="39">
        <v>46129</v>
      </c>
      <c r="F48" s="34" t="s">
        <v>255</v>
      </c>
      <c r="G48" s="35" t="s">
        <v>256</v>
      </c>
      <c r="H48" s="36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8" s="37" t="s">
        <v>246</v>
      </c>
    </row>
    <row r="49" ht="51">
      <c r="A49" s="29" t="s">
        <v>257</v>
      </c>
      <c r="B49" s="42" t="s">
        <v>258</v>
      </c>
      <c r="C49" s="43" t="s">
        <v>259</v>
      </c>
      <c r="D49" s="44" t="s">
        <v>260</v>
      </c>
      <c r="E49" s="45">
        <v>46045</v>
      </c>
      <c r="F49" s="46" t="s">
        <v>261</v>
      </c>
      <c r="G49" s="47" t="s">
        <v>262</v>
      </c>
      <c r="H49" s="48" t="str">
        <f>HYPERLINK("https://drive.google.com/file/d/1LN1-oYBc53fssG6j2Pdv2DdoSnUv_pLY/view?usp=drivesdk","Mr. S.G. Khokhar-Building Design and Drafting")</f>
        <v xml:space="preserve">Mr. S.G. Khokhar-Building Design and Drafting</v>
      </c>
      <c r="I49" s="49" t="s">
        <v>263</v>
      </c>
    </row>
    <row r="50" ht="51">
      <c r="A50" s="29" t="s">
        <v>257</v>
      </c>
      <c r="B50" s="42" t="s">
        <v>264</v>
      </c>
      <c r="C50" s="43" t="s">
        <v>265</v>
      </c>
      <c r="D50" s="44" t="s">
        <v>266</v>
      </c>
      <c r="E50" s="45">
        <v>46045</v>
      </c>
      <c r="F50" s="46" t="s">
        <v>267</v>
      </c>
      <c r="G50" s="47" t="s">
        <v>268</v>
      </c>
      <c r="H50" s="48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50" s="49" t="s">
        <v>269</v>
      </c>
    </row>
    <row r="51" ht="38.25">
      <c r="A51" s="50" t="s">
        <v>270</v>
      </c>
      <c r="B51" s="51" t="s">
        <v>271</v>
      </c>
      <c r="C51" s="52" t="s">
        <v>272</v>
      </c>
      <c r="D51" s="53" t="s">
        <v>273</v>
      </c>
      <c r="E51" s="54">
        <v>46099</v>
      </c>
      <c r="F51" s="55" t="s">
        <v>274</v>
      </c>
      <c r="G51" s="56" t="s">
        <v>275</v>
      </c>
      <c r="H51" s="57" t="str">
        <f>HYPERLINK("https://drive.google.com/file/d/1yzyE7qxLV3bvQz8z4npLKRU38WwAa1xK/view?usp=drivesdk","Mr. MITEN PANDYA-Fundamentals of Aviation")</f>
        <v xml:space="preserve">Mr. MITEN PANDYA-Fundamentals of Aviation</v>
      </c>
      <c r="I51" s="58" t="s">
        <v>276</v>
      </c>
    </row>
    <row r="52" ht="51">
      <c r="A52" s="50" t="s">
        <v>270</v>
      </c>
      <c r="B52" s="59" t="s">
        <v>277</v>
      </c>
      <c r="C52" s="60" t="s">
        <v>278</v>
      </c>
      <c r="D52" s="53" t="s">
        <v>279</v>
      </c>
      <c r="E52" s="54">
        <v>46099</v>
      </c>
      <c r="F52" s="55" t="s">
        <v>280</v>
      </c>
      <c r="G52" s="56" t="s">
        <v>281</v>
      </c>
      <c r="H52" s="57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52" s="58" t="s">
        <v>276</v>
      </c>
    </row>
    <row r="53" ht="51">
      <c r="A53" s="50" t="s">
        <v>270</v>
      </c>
      <c r="B53" s="59" t="s">
        <v>282</v>
      </c>
      <c r="C53" s="60" t="s">
        <v>283</v>
      </c>
      <c r="D53" s="53" t="s">
        <v>284</v>
      </c>
      <c r="E53" s="54">
        <v>46099</v>
      </c>
      <c r="F53" s="55" t="s">
        <v>285</v>
      </c>
      <c r="G53" s="56" t="s">
        <v>286</v>
      </c>
      <c r="H53" s="57" t="str">
        <f>HYPERLINK("https://drive.google.com/file/d/10ijkKGr2Bf9O72fmph3SkT7Pee4UNcCw/view?usp=drivesdk","Ms. TULIKA THAKUR-Introduction To Front Office")</f>
        <v xml:space="preserve">Ms. TULIKA THAKUR-Introduction To Front Office</v>
      </c>
      <c r="I53" s="58" t="s">
        <v>276</v>
      </c>
    </row>
    <row r="54" ht="38.25">
      <c r="A54" s="50" t="s">
        <v>270</v>
      </c>
      <c r="B54" s="59" t="s">
        <v>282</v>
      </c>
      <c r="C54" s="60" t="s">
        <v>287</v>
      </c>
      <c r="D54" s="53" t="s">
        <v>288</v>
      </c>
      <c r="E54" s="54">
        <v>46099</v>
      </c>
      <c r="F54" s="55" t="s">
        <v>289</v>
      </c>
      <c r="G54" s="56" t="s">
        <v>290</v>
      </c>
      <c r="H54" s="57" t="str">
        <f>HYPERLINK("https://drive.google.com/file/d/1Ht-I2zwSe3Eu01lI4J1rKngj7xpHbd4H/view?usp=drivesdk","Ms. TULIKA THAKUR-Principles of Front Office")</f>
        <v xml:space="preserve">Ms. TULIKA THAKUR-Principles of Front Office</v>
      </c>
      <c r="I54" s="58" t="s">
        <v>291</v>
      </c>
    </row>
    <row r="55" ht="63.75">
      <c r="A55" s="50" t="s">
        <v>270</v>
      </c>
      <c r="B55" s="59" t="s">
        <v>292</v>
      </c>
      <c r="C55" s="60" t="s">
        <v>293</v>
      </c>
      <c r="D55" s="53" t="s">
        <v>294</v>
      </c>
      <c r="E55" s="54">
        <v>46099</v>
      </c>
      <c r="F55" s="55" t="s">
        <v>295</v>
      </c>
      <c r="G55" s="56" t="s">
        <v>296</v>
      </c>
      <c r="H55" s="57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5" s="58" t="s">
        <v>291</v>
      </c>
    </row>
    <row r="56" ht="63.75">
      <c r="A56" s="50" t="s">
        <v>270</v>
      </c>
      <c r="B56" s="59" t="s">
        <v>292</v>
      </c>
      <c r="C56" s="60" t="s">
        <v>297</v>
      </c>
      <c r="D56" s="53" t="s">
        <v>298</v>
      </c>
      <c r="E56" s="54">
        <v>46099</v>
      </c>
      <c r="F56" s="55" t="s">
        <v>299</v>
      </c>
      <c r="G56" s="56" t="s">
        <v>300</v>
      </c>
      <c r="H56" s="57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6" s="58" t="s">
        <v>291</v>
      </c>
    </row>
    <row r="57" ht="38.25">
      <c r="A57" s="50" t="s">
        <v>270</v>
      </c>
      <c r="B57" s="61" t="s">
        <v>301</v>
      </c>
      <c r="C57" s="60" t="s">
        <v>302</v>
      </c>
      <c r="D57" s="53" t="s">
        <v>303</v>
      </c>
      <c r="E57" s="54">
        <v>46099</v>
      </c>
      <c r="F57" s="55" t="s">
        <v>304</v>
      </c>
      <c r="G57" s="56" t="s">
        <v>305</v>
      </c>
      <c r="H57" s="57" t="str">
        <f>HYPERLINK("https://drive.google.com/file/d/1zzyBJz_wgsLx9Dq7QuNmdSg_WFUElPFW/view?usp=drivesdk","DR. BINDU-Tourism In India and World")</f>
        <v xml:space="preserve">DR. BINDU-Tourism In India and World</v>
      </c>
      <c r="I57" s="58" t="s">
        <v>291</v>
      </c>
    </row>
    <row r="58" ht="51">
      <c r="A58" s="50" t="s">
        <v>270</v>
      </c>
      <c r="B58" s="61" t="s">
        <v>301</v>
      </c>
      <c r="C58" s="60" t="s">
        <v>306</v>
      </c>
      <c r="D58" s="53" t="s">
        <v>307</v>
      </c>
      <c r="E58" s="54">
        <v>46099</v>
      </c>
      <c r="F58" s="55" t="s">
        <v>308</v>
      </c>
      <c r="G58" s="56" t="s">
        <v>309</v>
      </c>
      <c r="H58" s="57" t="str">
        <f>HYPERLINK("https://drive.google.com/file/d/1pwQ_6VYDLFhgHIF7IV77ZSwFPmvUjysV/view?usp=drivesdk","DR. BINDU-Principles of Travel &amp; Tourism")</f>
        <v xml:space="preserve">DR. BINDU-Principles of Travel &amp; Tourism</v>
      </c>
      <c r="I58" s="58" t="s">
        <v>291</v>
      </c>
    </row>
    <row r="59" ht="76.5">
      <c r="A59" s="50" t="s">
        <v>270</v>
      </c>
      <c r="B59" s="59" t="s">
        <v>310</v>
      </c>
      <c r="C59" s="60" t="s">
        <v>311</v>
      </c>
      <c r="D59" s="53" t="s">
        <v>312</v>
      </c>
      <c r="E59" s="54">
        <v>46099</v>
      </c>
      <c r="F59" s="55" t="s">
        <v>313</v>
      </c>
      <c r="G59" s="56" t="s">
        <v>314</v>
      </c>
      <c r="H59" s="57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9" s="58" t="s">
        <v>291</v>
      </c>
    </row>
    <row r="60" ht="51">
      <c r="A60" s="50" t="s">
        <v>270</v>
      </c>
      <c r="B60" s="59" t="s">
        <v>310</v>
      </c>
      <c r="C60" s="60" t="s">
        <v>315</v>
      </c>
      <c r="D60" s="53" t="s">
        <v>316</v>
      </c>
      <c r="E60" s="54">
        <v>46099</v>
      </c>
      <c r="F60" s="55" t="s">
        <v>317</v>
      </c>
      <c r="G60" s="56" t="s">
        <v>318</v>
      </c>
      <c r="H60" s="57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60" s="58" t="s">
        <v>291</v>
      </c>
    </row>
    <row r="61" ht="63.75">
      <c r="A61" s="50" t="s">
        <v>270</v>
      </c>
      <c r="B61" s="59" t="s">
        <v>277</v>
      </c>
      <c r="C61" s="60" t="s">
        <v>319</v>
      </c>
      <c r="D61" s="53" t="s">
        <v>320</v>
      </c>
      <c r="E61" s="54">
        <v>46099</v>
      </c>
      <c r="F61" s="55" t="s">
        <v>321</v>
      </c>
      <c r="G61" s="56" t="s">
        <v>322</v>
      </c>
      <c r="H61" s="57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61" s="58" t="s">
        <v>323</v>
      </c>
    </row>
    <row r="62" ht="63.75">
      <c r="A62" s="50" t="s">
        <v>270</v>
      </c>
      <c r="B62" s="59" t="s">
        <v>324</v>
      </c>
      <c r="C62" s="60" t="s">
        <v>325</v>
      </c>
      <c r="D62" s="53" t="s">
        <v>326</v>
      </c>
      <c r="E62" s="54">
        <v>46099</v>
      </c>
      <c r="F62" s="55" t="s">
        <v>327</v>
      </c>
      <c r="G62" s="56" t="s">
        <v>328</v>
      </c>
      <c r="H62" s="57" t="str">
        <f>HYPERLINK("https://drive.google.com/file/d/1pvT1U091GHU_ntfdxo2YfpsMxK776aZq/view?usp=drivesdk","Mr. ARPIT SAMNANI-Food Production Operations")</f>
        <v xml:space="preserve">Mr. ARPIT SAMNANI-Food Production Operations</v>
      </c>
      <c r="I62" s="58" t="s">
        <v>323</v>
      </c>
    </row>
    <row r="63" ht="63.75">
      <c r="A63" s="50" t="s">
        <v>270</v>
      </c>
      <c r="B63" s="59" t="s">
        <v>329</v>
      </c>
      <c r="C63" s="60" t="s">
        <v>330</v>
      </c>
      <c r="D63" s="53" t="s">
        <v>331</v>
      </c>
      <c r="E63" s="54">
        <v>46099</v>
      </c>
      <c r="F63" s="55" t="s">
        <v>332</v>
      </c>
      <c r="G63" s="56" t="s">
        <v>333</v>
      </c>
      <c r="H63" s="57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63" s="58" t="s">
        <v>323</v>
      </c>
    </row>
    <row r="64" ht="76.5">
      <c r="A64" s="50" t="s">
        <v>270</v>
      </c>
      <c r="B64" s="61" t="s">
        <v>334</v>
      </c>
      <c r="C64" s="60" t="s">
        <v>335</v>
      </c>
      <c r="D64" s="53" t="s">
        <v>336</v>
      </c>
      <c r="E64" s="54">
        <v>46099</v>
      </c>
      <c r="F64" s="55" t="s">
        <v>337</v>
      </c>
      <c r="G64" s="56" t="s">
        <v>338</v>
      </c>
      <c r="H64" s="57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64" s="58" t="s">
        <v>323</v>
      </c>
    </row>
    <row r="65" ht="12.75">
      <c r="A65" s="50" t="s">
        <v>270</v>
      </c>
      <c r="B65" s="59" t="s">
        <v>339</v>
      </c>
      <c r="C65" s="60" t="s">
        <v>340</v>
      </c>
      <c r="D65" s="53" t="s">
        <v>341</v>
      </c>
      <c r="E65" s="54">
        <v>46099</v>
      </c>
      <c r="F65" s="55" t="s">
        <v>342</v>
      </c>
      <c r="G65" s="56" t="s">
        <v>343</v>
      </c>
      <c r="H65" s="57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5" s="58" t="s">
        <v>323</v>
      </c>
    </row>
    <row r="66" ht="12.75">
      <c r="A66" s="50" t="s">
        <v>270</v>
      </c>
      <c r="B66" s="59" t="s">
        <v>344</v>
      </c>
      <c r="C66" s="60" t="s">
        <v>345</v>
      </c>
      <c r="D66" s="53" t="s">
        <v>346</v>
      </c>
      <c r="E66" s="54">
        <v>46099</v>
      </c>
      <c r="F66" s="55" t="s">
        <v>347</v>
      </c>
      <c r="G66" s="56" t="s">
        <v>348</v>
      </c>
      <c r="H66" s="57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6" s="58" t="s">
        <v>323</v>
      </c>
    </row>
    <row r="67" ht="12.75">
      <c r="A67" s="50" t="s">
        <v>270</v>
      </c>
      <c r="B67" s="61" t="s">
        <v>349</v>
      </c>
      <c r="C67" s="60" t="s">
        <v>350</v>
      </c>
      <c r="D67" s="53" t="s">
        <v>351</v>
      </c>
      <c r="E67" s="54">
        <v>46099</v>
      </c>
      <c r="F67" s="55" t="s">
        <v>352</v>
      </c>
      <c r="G67" s="56" t="s">
        <v>353</v>
      </c>
      <c r="H67" s="57" t="str">
        <f>HYPERLINK("https://drive.google.com/file/d/1pivobEhhoi_nDfWgz14g-tMF7xHEYA0Y/view?usp=drivesdk","Mr. UDAIDIP CHAUHAN-Sales And Marketing")</f>
        <v xml:space="preserve">Mr. UDAIDIP CHAUHAN-Sales And Marketing</v>
      </c>
      <c r="I67" s="58" t="s">
        <v>323</v>
      </c>
    </row>
    <row r="68" ht="12.75">
      <c r="A68" s="62" t="s">
        <v>354</v>
      </c>
      <c r="B68" s="63" t="s">
        <v>355</v>
      </c>
      <c r="C68" s="64" t="s">
        <v>356</v>
      </c>
      <c r="D68" s="65" t="s">
        <v>357</v>
      </c>
      <c r="E68" s="66">
        <v>46041</v>
      </c>
      <c r="F68" s="67" t="s">
        <v>358</v>
      </c>
      <c r="G68" s="68" t="s">
        <v>359</v>
      </c>
      <c r="H68" s="69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8" s="70" t="s">
        <v>360</v>
      </c>
    </row>
    <row r="69" ht="12.75">
      <c r="A69" s="62" t="s">
        <v>354</v>
      </c>
      <c r="B69" s="63" t="s">
        <v>361</v>
      </c>
      <c r="C69" s="64" t="s">
        <v>362</v>
      </c>
      <c r="D69" s="65" t="s">
        <v>363</v>
      </c>
      <c r="E69" s="66">
        <v>46041</v>
      </c>
      <c r="F69" s="67" t="s">
        <v>364</v>
      </c>
      <c r="G69" s="68" t="s">
        <v>365</v>
      </c>
      <c r="H69" s="69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9" s="70" t="s">
        <v>360</v>
      </c>
    </row>
    <row r="70" ht="12.75">
      <c r="A70" s="62" t="s">
        <v>354</v>
      </c>
      <c r="B70" s="63" t="s">
        <v>366</v>
      </c>
      <c r="C70" s="64" t="s">
        <v>367</v>
      </c>
      <c r="D70" s="65" t="s">
        <v>368</v>
      </c>
      <c r="E70" s="66">
        <v>46041</v>
      </c>
      <c r="F70" s="67" t="s">
        <v>369</v>
      </c>
      <c r="G70" s="68" t="s">
        <v>370</v>
      </c>
      <c r="H70" s="69" t="str">
        <f>HYPERLINK("https://drive.google.com/file/d/1tKb_ZHRbblcRNdQvHgAvJo2A1iO6tz-d/view?usp=drivesdk","Ms Aditi Patel-Introduction to Economics")</f>
        <v xml:space="preserve">Ms Aditi Patel-Introduction to Economics</v>
      </c>
      <c r="I70" s="70" t="s">
        <v>371</v>
      </c>
    </row>
    <row r="71" ht="12.75">
      <c r="A71" s="62" t="s">
        <v>354</v>
      </c>
      <c r="B71" s="63" t="s">
        <v>372</v>
      </c>
      <c r="C71" s="64" t="s">
        <v>373</v>
      </c>
      <c r="D71" s="65" t="s">
        <v>374</v>
      </c>
      <c r="E71" s="66">
        <v>46041</v>
      </c>
      <c r="F71" s="67" t="s">
        <v>375</v>
      </c>
      <c r="G71" s="68" t="s">
        <v>376</v>
      </c>
      <c r="H71" s="69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71" s="70" t="s">
        <v>371</v>
      </c>
    </row>
    <row r="72" ht="12.75">
      <c r="A72" s="62" t="s">
        <v>354</v>
      </c>
      <c r="B72" s="63" t="s">
        <v>377</v>
      </c>
      <c r="C72" s="64" t="s">
        <v>378</v>
      </c>
      <c r="D72" s="65" t="s">
        <v>379</v>
      </c>
      <c r="E72" s="66">
        <v>46041</v>
      </c>
      <c r="F72" s="67" t="s">
        <v>380</v>
      </c>
      <c r="G72" s="68" t="s">
        <v>381</v>
      </c>
      <c r="H72" s="69" t="str">
        <f>HYPERLINK("https://drive.google.com/file/d/1B7D9QqbxjY-vsc5n_zWti8Hc8czXVEQ5/view?usp=drivesdk","Dr.Subair Kalathil-Introduction to Sociology")</f>
        <v xml:space="preserve">Dr.Subair Kalathil-Introduction to Sociology</v>
      </c>
      <c r="I72" s="70" t="s">
        <v>371</v>
      </c>
    </row>
    <row r="73" ht="12.75">
      <c r="A73" s="62" t="s">
        <v>354</v>
      </c>
      <c r="B73" s="63" t="s">
        <v>382</v>
      </c>
      <c r="C73" s="64" t="s">
        <v>383</v>
      </c>
      <c r="D73" s="65" t="s">
        <v>384</v>
      </c>
      <c r="E73" s="66">
        <v>46041</v>
      </c>
      <c r="F73" s="67" t="s">
        <v>385</v>
      </c>
      <c r="G73" s="68" t="s">
        <v>386</v>
      </c>
      <c r="H73" s="69" t="str">
        <f>HYPERLINK("https://drive.google.com/file/d/1AGZJrrc6m1vkdYhCLTgM0YslqumCRLkw/view?usp=drivesdk","Dr.Pritesh Panchal-Fundamental of Accounting")</f>
        <v xml:space="preserve">Dr.Pritesh Panchal-Fundamental of Accounting</v>
      </c>
      <c r="I73" s="70" t="s">
        <v>371</v>
      </c>
    </row>
    <row r="74" ht="12.75">
      <c r="A74" s="62" t="s">
        <v>354</v>
      </c>
      <c r="B74" s="63" t="s">
        <v>387</v>
      </c>
      <c r="C74" s="64" t="s">
        <v>388</v>
      </c>
      <c r="D74" s="65" t="s">
        <v>389</v>
      </c>
      <c r="E74" s="66">
        <v>46041</v>
      </c>
      <c r="F74" s="67" t="s">
        <v>390</v>
      </c>
      <c r="G74" s="68" t="s">
        <v>391</v>
      </c>
      <c r="H74" s="69" t="str">
        <f>HYPERLINK("https://drive.google.com/file/d/1HZSGJWRVVRCzbc90Tp9nSUgWyIdjLOZ3/view?usp=drivesdk","Dr.Dhaval Zala-Principles of Management")</f>
        <v xml:space="preserve">Dr.Dhaval Zala-Principles of Management</v>
      </c>
      <c r="I74" s="70" t="s">
        <v>371</v>
      </c>
    </row>
    <row r="75" ht="12.75">
      <c r="A75" s="62" t="s">
        <v>354</v>
      </c>
      <c r="B75" s="63" t="s">
        <v>392</v>
      </c>
      <c r="C75" s="64" t="s">
        <v>393</v>
      </c>
      <c r="D75" s="65" t="s">
        <v>394</v>
      </c>
      <c r="E75" s="66">
        <v>46041</v>
      </c>
      <c r="F75" s="67" t="s">
        <v>395</v>
      </c>
      <c r="G75" s="68" t="s">
        <v>396</v>
      </c>
      <c r="H75" s="69" t="str">
        <f>HYPERLINK("https://drive.google.com/file/d/1BPnfFSInEdrfPaVA8EHVibhTeBPM_I9b/view?usp=drivesdk","Mr. Ganesh Ji-Constitution-I")</f>
        <v xml:space="preserve">Mr. Ganesh Ji-Constitution-I</v>
      </c>
      <c r="I75" s="70" t="s">
        <v>371</v>
      </c>
    </row>
    <row r="76" ht="12.75">
      <c r="A76" s="62" t="s">
        <v>354</v>
      </c>
      <c r="B76" s="63" t="s">
        <v>397</v>
      </c>
      <c r="C76" s="64" t="s">
        <v>398</v>
      </c>
      <c r="D76" s="65" t="s">
        <v>399</v>
      </c>
      <c r="E76" s="66">
        <v>46041</v>
      </c>
      <c r="F76" s="67" t="s">
        <v>400</v>
      </c>
      <c r="G76" s="68" t="s">
        <v>401</v>
      </c>
      <c r="H76" s="69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6" s="70" t="s">
        <v>402</v>
      </c>
    </row>
    <row r="77" ht="12.75">
      <c r="A77" s="62" t="s">
        <v>354</v>
      </c>
      <c r="B77" s="63" t="s">
        <v>403</v>
      </c>
      <c r="C77" s="64" t="s">
        <v>404</v>
      </c>
      <c r="D77" s="65" t="s">
        <v>405</v>
      </c>
      <c r="E77" s="66">
        <v>46041</v>
      </c>
      <c r="F77" s="67" t="s">
        <v>406</v>
      </c>
      <c r="G77" s="68" t="s">
        <v>407</v>
      </c>
      <c r="H77" s="69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7" s="70" t="s">
        <v>402</v>
      </c>
    </row>
    <row r="78" ht="12.75">
      <c r="A78" s="62" t="s">
        <v>354</v>
      </c>
      <c r="B78" s="63" t="s">
        <v>408</v>
      </c>
      <c r="C78" s="64" t="s">
        <v>393</v>
      </c>
      <c r="D78" s="65" t="s">
        <v>409</v>
      </c>
      <c r="E78" s="66">
        <v>46041</v>
      </c>
      <c r="F78" s="67" t="s">
        <v>410</v>
      </c>
      <c r="G78" s="68" t="s">
        <v>411</v>
      </c>
      <c r="H78" s="69" t="str">
        <f>HYPERLINK("https://drive.google.com/file/d/1NjFoYHr8MhpwqVHIfwMvmBm_-VFAXR8H/view?usp=drivesdk","Dr.Rajesh Singh-Constitution-I")</f>
        <v xml:space="preserve">Dr.Rajesh Singh-Constitution-I</v>
      </c>
      <c r="I78" s="70" t="s">
        <v>402</v>
      </c>
    </row>
    <row r="79" ht="12.75">
      <c r="A79" s="62" t="s">
        <v>354</v>
      </c>
      <c r="B79" s="63" t="s">
        <v>412</v>
      </c>
      <c r="C79" s="64" t="s">
        <v>413</v>
      </c>
      <c r="D79" s="65" t="s">
        <v>414</v>
      </c>
      <c r="E79" s="66">
        <v>46041</v>
      </c>
      <c r="F79" s="67" t="s">
        <v>415</v>
      </c>
      <c r="G79" s="68" t="s">
        <v>416</v>
      </c>
      <c r="H79" s="69" t="str">
        <f>HYPERLINK("https://drive.google.com/file/d/1Ofm2T21gR52Lk3JW2X60gnuQvlqDaUlS/view?usp=drivesdk","Ms. Vibhuti Shrivastava-Legal Language")</f>
        <v xml:space="preserve">Ms. Vibhuti Shrivastava-Legal Language</v>
      </c>
      <c r="I79" s="70" t="s">
        <v>402</v>
      </c>
    </row>
    <row r="80" ht="12.75">
      <c r="A80" s="62" t="s">
        <v>354</v>
      </c>
      <c r="B80" s="63" t="s">
        <v>417</v>
      </c>
      <c r="C80" s="64" t="s">
        <v>356</v>
      </c>
      <c r="D80" s="65" t="s">
        <v>418</v>
      </c>
      <c r="E80" s="66">
        <v>46041</v>
      </c>
      <c r="F80" s="67" t="s">
        <v>419</v>
      </c>
      <c r="G80" s="68" t="s">
        <v>420</v>
      </c>
      <c r="H80" s="69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80" s="70" t="s">
        <v>402</v>
      </c>
    </row>
    <row r="81" ht="12.75">
      <c r="A81" s="62" t="s">
        <v>354</v>
      </c>
      <c r="B81" s="71" t="s">
        <v>421</v>
      </c>
      <c r="C81" s="64" t="s">
        <v>422</v>
      </c>
      <c r="D81" s="65" t="s">
        <v>423</v>
      </c>
      <c r="E81" s="66">
        <v>46041</v>
      </c>
      <c r="F81" s="67" t="s">
        <v>424</v>
      </c>
      <c r="G81" s="68" t="s">
        <v>425</v>
      </c>
      <c r="H81" s="69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81" s="70" t="s">
        <v>402</v>
      </c>
    </row>
    <row r="82" ht="12.75">
      <c r="A82" s="62" t="s">
        <v>354</v>
      </c>
      <c r="B82" s="63" t="s">
        <v>426</v>
      </c>
      <c r="C82" s="64" t="s">
        <v>427</v>
      </c>
      <c r="D82" s="65" t="s">
        <v>428</v>
      </c>
      <c r="E82" s="66">
        <v>46041</v>
      </c>
      <c r="F82" s="67" t="s">
        <v>429</v>
      </c>
      <c r="G82" s="68" t="s">
        <v>430</v>
      </c>
      <c r="H82" s="69" t="str">
        <f>HYPERLINK("https://drive.google.com/file/d/1Mn4c3wRr-HSmwgfSKwFXqWy0FcFcToIU/view?usp=drivesdk","Ms.Samta Kathuria-Constitutional Law -II")</f>
        <v xml:space="preserve">Ms.Samta Kathuria-Constitutional Law -II</v>
      </c>
      <c r="I82" s="70" t="s">
        <v>431</v>
      </c>
    </row>
    <row r="83" ht="12.75">
      <c r="A83" s="62" t="s">
        <v>354</v>
      </c>
      <c r="B83" s="63" t="s">
        <v>432</v>
      </c>
      <c r="C83" s="64" t="s">
        <v>433</v>
      </c>
      <c r="D83" s="65" t="s">
        <v>434</v>
      </c>
      <c r="E83" s="66">
        <v>46041</v>
      </c>
      <c r="F83" s="67" t="s">
        <v>435</v>
      </c>
      <c r="G83" s="68" t="s">
        <v>436</v>
      </c>
      <c r="H83" s="69" t="str">
        <f>HYPERLINK("https://drive.google.com/file/d/1_6WJC_DoSx8--JhZJAXYsWIz93n8XyNG/view?usp=drivesdk","Ms.Priya Nair-Property Law and Easement")</f>
        <v xml:space="preserve">Ms.Priya Nair-Property Law and Easement</v>
      </c>
      <c r="I83" s="70" t="s">
        <v>431</v>
      </c>
    </row>
    <row r="84" ht="12.75">
      <c r="A84" s="62" t="s">
        <v>354</v>
      </c>
      <c r="B84" s="63" t="s">
        <v>437</v>
      </c>
      <c r="C84" s="64" t="s">
        <v>438</v>
      </c>
      <c r="D84" s="65" t="s">
        <v>439</v>
      </c>
      <c r="E84" s="66">
        <v>46041</v>
      </c>
      <c r="F84" s="67" t="s">
        <v>440</v>
      </c>
      <c r="G84" s="68" t="s">
        <v>441</v>
      </c>
      <c r="H84" s="69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84" s="70" t="s">
        <v>431</v>
      </c>
    </row>
    <row r="85" ht="12.75">
      <c r="A85" s="62" t="s">
        <v>354</v>
      </c>
      <c r="B85" s="63" t="s">
        <v>442</v>
      </c>
      <c r="C85" s="64" t="s">
        <v>443</v>
      </c>
      <c r="D85" s="65" t="s">
        <v>444</v>
      </c>
      <c r="E85" s="66">
        <v>46041</v>
      </c>
      <c r="F85" s="67" t="s">
        <v>445</v>
      </c>
      <c r="G85" s="68" t="s">
        <v>446</v>
      </c>
      <c r="H85" s="69" t="str">
        <f>HYPERLINK("https://drive.google.com/file/d/19C90fz0HciC1zXLXJL2aMLbMyew0emr0/view?usp=drivesdk","Ms. Mahima Jacob-Environmental Law")</f>
        <v xml:space="preserve">Ms. Mahima Jacob-Environmental Law</v>
      </c>
      <c r="I85" s="70" t="s">
        <v>431</v>
      </c>
    </row>
    <row r="86" ht="12.75">
      <c r="A86" s="72" t="s">
        <v>447</v>
      </c>
      <c r="B86" s="73" t="s">
        <v>448</v>
      </c>
      <c r="C86" s="74" t="s">
        <v>449</v>
      </c>
      <c r="D86" s="75" t="s">
        <v>450</v>
      </c>
      <c r="E86" s="76">
        <v>46102</v>
      </c>
      <c r="F86" s="77" t="s">
        <v>451</v>
      </c>
      <c r="G86" s="78" t="s">
        <v>452</v>
      </c>
      <c r="H86" s="79" t="str">
        <f>HYPERLINK("https://drive.google.com/file/d/1eDqEm6JxLOK1m569fDZvOJS4s_TbzhZi/view?usp=drivesdk","Dr. Unnati Soni-Urban Community Development")</f>
        <v xml:space="preserve">Dr. Unnati Soni-Urban Community Development</v>
      </c>
      <c r="I86" s="80" t="s">
        <v>453</v>
      </c>
    </row>
    <row r="87" ht="12.75">
      <c r="A87" s="72" t="s">
        <v>447</v>
      </c>
      <c r="B87" s="73" t="s">
        <v>454</v>
      </c>
      <c r="C87" s="74" t="s">
        <v>455</v>
      </c>
      <c r="D87" s="75" t="s">
        <v>456</v>
      </c>
      <c r="E87" s="76">
        <v>46102</v>
      </c>
      <c r="F87" s="77" t="s">
        <v>457</v>
      </c>
      <c r="G87" s="78" t="s">
        <v>458</v>
      </c>
      <c r="H87" s="79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7" s="80" t="s">
        <v>453</v>
      </c>
    </row>
    <row r="88" ht="12.75">
      <c r="A88" s="72" t="s">
        <v>447</v>
      </c>
      <c r="B88" s="73" t="s">
        <v>454</v>
      </c>
      <c r="C88" s="81" t="s">
        <v>459</v>
      </c>
      <c r="D88" s="75" t="s">
        <v>460</v>
      </c>
      <c r="E88" s="76">
        <v>46052</v>
      </c>
      <c r="F88" s="77" t="s">
        <v>461</v>
      </c>
      <c r="G88" s="78" t="s">
        <v>462</v>
      </c>
      <c r="H88" s="79" t="str">
        <f>HYPERLINK("https://drive.google.com/file/d/1vu-7wCHTpQgizhBeq4hTLv5BOZH7Uhom/view?usp=drivesdk","Ms. Shruti Bhonsle-Social Group Work")</f>
        <v xml:space="preserve">Ms. Shruti Bhonsle-Social Group Work</v>
      </c>
      <c r="I88" s="80" t="s">
        <v>453</v>
      </c>
    </row>
    <row r="89" ht="12.75">
      <c r="A89" s="72" t="s">
        <v>447</v>
      </c>
      <c r="B89" s="82" t="s">
        <v>463</v>
      </c>
      <c r="C89" s="83" t="s">
        <v>464</v>
      </c>
      <c r="D89" s="84" t="s">
        <v>465</v>
      </c>
      <c r="E89" s="76">
        <v>46139</v>
      </c>
      <c r="F89" s="77" t="s">
        <v>466</v>
      </c>
      <c r="G89" s="78" t="s">
        <v>467</v>
      </c>
      <c r="H89" s="79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9" s="80" t="s">
        <v>468</v>
      </c>
    </row>
    <row r="90" ht="12.75">
      <c r="A90" s="72" t="s">
        <v>447</v>
      </c>
      <c r="B90" s="85" t="s">
        <v>469</v>
      </c>
      <c r="C90" s="85" t="s">
        <v>470</v>
      </c>
      <c r="D90" s="6" t="s">
        <v>471</v>
      </c>
      <c r="E90" s="76">
        <v>46139</v>
      </c>
      <c r="F90" s="77" t="s">
        <v>472</v>
      </c>
      <c r="G90" s="78" t="s">
        <v>473</v>
      </c>
      <c r="H90" s="79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90" s="80" t="s">
        <v>474</v>
      </c>
    </row>
    <row r="91" ht="12.75">
      <c r="A91" s="12" t="s">
        <v>475</v>
      </c>
      <c r="B91" s="86" t="s">
        <v>476</v>
      </c>
      <c r="C91" s="87" t="s">
        <v>477</v>
      </c>
      <c r="D91" s="88" t="s">
        <v>478</v>
      </c>
      <c r="E91" s="89">
        <v>46086</v>
      </c>
      <c r="F91" s="90" t="s">
        <v>479</v>
      </c>
      <c r="G91" s="91" t="s">
        <v>480</v>
      </c>
      <c r="H91" s="92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91" s="93" t="s">
        <v>481</v>
      </c>
    </row>
    <row r="92" ht="12.75">
      <c r="A92" s="12" t="s">
        <v>475</v>
      </c>
      <c r="B92" s="86" t="s">
        <v>482</v>
      </c>
      <c r="C92" s="94" t="s">
        <v>483</v>
      </c>
      <c r="D92" s="88" t="s">
        <v>484</v>
      </c>
      <c r="E92" s="89">
        <v>46086</v>
      </c>
      <c r="F92" s="90" t="s">
        <v>485</v>
      </c>
      <c r="G92" s="91" t="s">
        <v>486</v>
      </c>
      <c r="H92" s="92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92" s="93" t="s">
        <v>481</v>
      </c>
    </row>
    <row r="93" ht="12.75">
      <c r="A93" s="12" t="s">
        <v>475</v>
      </c>
      <c r="B93" s="86" t="s">
        <v>487</v>
      </c>
      <c r="C93" s="87" t="s">
        <v>488</v>
      </c>
      <c r="D93" s="88" t="s">
        <v>489</v>
      </c>
      <c r="E93" s="89">
        <v>46086</v>
      </c>
      <c r="F93" s="90" t="s">
        <v>490</v>
      </c>
      <c r="G93" s="91" t="s">
        <v>491</v>
      </c>
      <c r="H93" s="92" t="str">
        <f>HYPERLINK("https://drive.google.com/file/d/1IhFNyjXkfw03tpdIpcTUzq-RGZposD54/view?usp=drivesdk","Mr. Nitesh Paliwal-Fluid Flow Operations")</f>
        <v xml:space="preserve">Mr. Nitesh Paliwal-Fluid Flow Operations</v>
      </c>
      <c r="I93" s="93" t="s">
        <v>481</v>
      </c>
    </row>
    <row r="94" ht="12.75">
      <c r="A94" s="12" t="s">
        <v>475</v>
      </c>
      <c r="B94" s="86" t="s">
        <v>492</v>
      </c>
      <c r="C94" s="87" t="s">
        <v>493</v>
      </c>
      <c r="D94" s="88" t="s">
        <v>494</v>
      </c>
      <c r="E94" s="89">
        <v>46086</v>
      </c>
      <c r="F94" s="90" t="s">
        <v>495</v>
      </c>
      <c r="G94" s="91" t="s">
        <v>496</v>
      </c>
      <c r="H94" s="92" t="str">
        <f>HYPERLINK("https://drive.google.com/file/d/109OjqjOttCrXLgBFmucLSKR545eEgcax/view?usp=drivesdk","Dr. Mohatsim Mahetaji-Petroleum Exploration")</f>
        <v xml:space="preserve">Dr. Mohatsim Mahetaji-Petroleum Exploration</v>
      </c>
      <c r="I94" s="93" t="s">
        <v>481</v>
      </c>
    </row>
    <row r="95" ht="12.75">
      <c r="A95" s="12" t="s">
        <v>475</v>
      </c>
      <c r="B95" s="86" t="s">
        <v>497</v>
      </c>
      <c r="C95" s="87" t="s">
        <v>498</v>
      </c>
      <c r="D95" s="88" t="s">
        <v>499</v>
      </c>
      <c r="E95" s="89">
        <v>46086</v>
      </c>
      <c r="F95" s="90" t="s">
        <v>500</v>
      </c>
      <c r="G95" s="91" t="s">
        <v>501</v>
      </c>
      <c r="H95" s="92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5" s="93" t="s">
        <v>502</v>
      </c>
    </row>
    <row r="96" ht="12.75">
      <c r="A96" s="12" t="s">
        <v>475</v>
      </c>
      <c r="B96" s="86" t="s">
        <v>503</v>
      </c>
      <c r="C96" s="87" t="s">
        <v>504</v>
      </c>
      <c r="D96" s="88" t="s">
        <v>505</v>
      </c>
      <c r="E96" s="89">
        <v>46086</v>
      </c>
      <c r="F96" s="90" t="s">
        <v>506</v>
      </c>
      <c r="G96" s="91" t="s">
        <v>507</v>
      </c>
      <c r="H96" s="92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6" s="93" t="s">
        <v>502</v>
      </c>
    </row>
    <row r="97" ht="12.75">
      <c r="A97" s="12" t="s">
        <v>475</v>
      </c>
      <c r="B97" s="86" t="s">
        <v>508</v>
      </c>
      <c r="C97" s="87" t="s">
        <v>509</v>
      </c>
      <c r="D97" s="88" t="s">
        <v>510</v>
      </c>
      <c r="E97" s="89">
        <v>46086</v>
      </c>
      <c r="F97" s="90" t="s">
        <v>511</v>
      </c>
      <c r="G97" s="91" t="s">
        <v>512</v>
      </c>
      <c r="H97" s="92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7" s="93" t="s">
        <v>502</v>
      </c>
    </row>
    <row r="98" ht="12.75">
      <c r="A98" s="12" t="s">
        <v>475</v>
      </c>
      <c r="B98" s="86" t="s">
        <v>513</v>
      </c>
      <c r="C98" s="87" t="s">
        <v>514</v>
      </c>
      <c r="D98" s="88" t="s">
        <v>515</v>
      </c>
      <c r="E98" s="89">
        <v>46015</v>
      </c>
      <c r="F98" s="90" t="s">
        <v>516</v>
      </c>
      <c r="G98" s="91" t="s">
        <v>517</v>
      </c>
      <c r="H98" s="92" t="str">
        <f>HYPERLINK("https://drive.google.com/file/d/128BVo8O1eG_TkiXKCDGU1wgMwAWvvGDe/view?usp=drivesdk","Dr. Sanjukta Banerjee-Bioprocess Engineering")</f>
        <v xml:space="preserve">Dr. Sanjukta Banerjee-Bioprocess Engineering</v>
      </c>
      <c r="I98" s="93" t="s">
        <v>502</v>
      </c>
    </row>
    <row r="99" ht="12.75">
      <c r="A99" s="12" t="s">
        <v>475</v>
      </c>
      <c r="B99" s="86" t="s">
        <v>518</v>
      </c>
      <c r="C99" s="87" t="s">
        <v>504</v>
      </c>
      <c r="D99" s="88" t="s">
        <v>519</v>
      </c>
      <c r="E99" s="89">
        <v>46015</v>
      </c>
      <c r="F99" s="90" t="s">
        <v>520</v>
      </c>
      <c r="G99" s="91" t="s">
        <v>521</v>
      </c>
      <c r="H99" s="92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9" s="93" t="s">
        <v>502</v>
      </c>
    </row>
    <row r="100" ht="12.75">
      <c r="A100" s="12" t="s">
        <v>475</v>
      </c>
      <c r="B100" s="86" t="s">
        <v>522</v>
      </c>
      <c r="C100" s="87" t="s">
        <v>523</v>
      </c>
      <c r="D100" s="88" t="s">
        <v>524</v>
      </c>
      <c r="E100" s="89">
        <v>46079</v>
      </c>
      <c r="F100" s="90" t="s">
        <v>525</v>
      </c>
      <c r="G100" s="91" t="s">
        <v>526</v>
      </c>
      <c r="H100" s="92" t="str">
        <f>HYPERLINK("https://drive.google.com/file/d/1NzsmXh0YfiD1TPkj1clzfHHeGMfljfBP/view?usp=drivesdk","Dr. Alok Kumar Yadav-Basics of Microbiology")</f>
        <v xml:space="preserve">Dr. Alok Kumar Yadav-Basics of Microbiology</v>
      </c>
      <c r="I100" s="93" t="s">
        <v>527</v>
      </c>
    </row>
    <row r="101" ht="12.75">
      <c r="A101" s="12" t="s">
        <v>475</v>
      </c>
      <c r="B101" s="95" t="s">
        <v>528</v>
      </c>
      <c r="C101" s="87" t="s">
        <v>529</v>
      </c>
      <c r="D101" s="88" t="s">
        <v>530</v>
      </c>
      <c r="E101" s="89">
        <v>46015</v>
      </c>
      <c r="F101" s="90" t="s">
        <v>531</v>
      </c>
      <c r="G101" s="91" t="s">
        <v>532</v>
      </c>
      <c r="H101" s="92" t="str">
        <f>HYPERLINK("https://drive.google.com/file/d/105-QhKB7SxVwH-i8aI5tkY90mCCnIbgd/view?usp=drivesdk","Dr.Amarish Kumar Sharma-Biochemistry")</f>
        <v xml:space="preserve">Dr.Amarish Kumar Sharma-Biochemistry</v>
      </c>
      <c r="I101" s="93" t="s">
        <v>527</v>
      </c>
    </row>
    <row r="102" ht="12.75">
      <c r="A102" s="12" t="s">
        <v>475</v>
      </c>
      <c r="B102" s="86" t="s">
        <v>533</v>
      </c>
      <c r="C102" s="87" t="s">
        <v>534</v>
      </c>
      <c r="D102" s="88" t="s">
        <v>535</v>
      </c>
      <c r="E102" s="89">
        <v>46079</v>
      </c>
      <c r="F102" s="90" t="s">
        <v>536</v>
      </c>
      <c r="G102" s="91" t="s">
        <v>537</v>
      </c>
      <c r="H102" s="92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102" s="93" t="s">
        <v>527</v>
      </c>
    </row>
    <row r="103" ht="12.75">
      <c r="A103" s="12" t="s">
        <v>475</v>
      </c>
      <c r="B103" s="86" t="s">
        <v>538</v>
      </c>
      <c r="C103" s="87" t="s">
        <v>539</v>
      </c>
      <c r="D103" s="88" t="s">
        <v>540</v>
      </c>
      <c r="E103" s="89">
        <v>46079</v>
      </c>
      <c r="F103" s="90" t="s">
        <v>541</v>
      </c>
      <c r="G103" s="91" t="s">
        <v>542</v>
      </c>
      <c r="H103" s="92" t="str">
        <f>HYPERLINK("https://drive.google.com/file/d/1Pc2Shp8slJ6TTKOosefze2Z43Rw07rMy/view?usp=drivesdk","Dr. Prathamesh Potdar-Optimisation Techniques")</f>
        <v xml:space="preserve">Dr. Prathamesh Potdar-Optimisation Techniques</v>
      </c>
      <c r="I103" s="93" t="s">
        <v>527</v>
      </c>
    </row>
    <row r="104" ht="12.75">
      <c r="A104" s="12" t="s">
        <v>475</v>
      </c>
      <c r="B104" s="86" t="s">
        <v>543</v>
      </c>
      <c r="C104" s="87" t="s">
        <v>544</v>
      </c>
      <c r="D104" s="88" t="s">
        <v>545</v>
      </c>
      <c r="E104" s="89">
        <v>46079</v>
      </c>
      <c r="F104" s="90" t="s">
        <v>546</v>
      </c>
      <c r="G104" s="91" t="s">
        <v>547</v>
      </c>
      <c r="H104" s="92" t="str">
        <f>HYPERLINK("https://drive.google.com/file/d/1z_Qx9A41Tkf6yv9z2EzIgWlO9_K4viuJ/view?usp=drivesdk","Omkamal Vashi-Electric &amp; Hybrid Vehicles")</f>
        <v xml:space="preserve">Omkamal Vashi-Electric &amp; Hybrid Vehicles</v>
      </c>
      <c r="I104" s="93" t="s">
        <v>527</v>
      </c>
    </row>
    <row r="105" ht="12.75">
      <c r="A105" s="12" t="s">
        <v>475</v>
      </c>
      <c r="B105" s="86" t="s">
        <v>548</v>
      </c>
      <c r="C105" s="87" t="s">
        <v>549</v>
      </c>
      <c r="D105" s="88" t="s">
        <v>550</v>
      </c>
      <c r="E105" s="89">
        <v>46079</v>
      </c>
      <c r="F105" s="90" t="s">
        <v>551</v>
      </c>
      <c r="G105" s="91" t="s">
        <v>552</v>
      </c>
      <c r="H105" s="92" t="str">
        <f>HYPERLINK("https://drive.google.com/file/d/1E1NVMt8osHQ0bpn-6kcqyVvSiIJJLAn8/view?usp=drivesdk","Jugal Sanghadia-Automobile Engines")</f>
        <v xml:space="preserve">Jugal Sanghadia-Automobile Engines</v>
      </c>
      <c r="I105" s="93" t="s">
        <v>527</v>
      </c>
    </row>
    <row r="106" ht="12.75">
      <c r="A106" s="12" t="s">
        <v>475</v>
      </c>
      <c r="B106" s="86" t="s">
        <v>553</v>
      </c>
      <c r="C106" s="87" t="s">
        <v>554</v>
      </c>
      <c r="D106" s="88" t="s">
        <v>555</v>
      </c>
      <c r="E106" s="89">
        <v>46079</v>
      </c>
      <c r="F106" s="90" t="s">
        <v>556</v>
      </c>
      <c r="G106" s="91" t="s">
        <v>557</v>
      </c>
      <c r="H106" s="92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6" s="93" t="s">
        <v>558</v>
      </c>
    </row>
    <row r="107" ht="12.75">
      <c r="A107" s="12" t="s">
        <v>475</v>
      </c>
      <c r="B107" s="86" t="s">
        <v>559</v>
      </c>
      <c r="C107" s="87" t="s">
        <v>560</v>
      </c>
      <c r="D107" s="88" t="s">
        <v>561</v>
      </c>
      <c r="E107" s="89">
        <v>46079</v>
      </c>
      <c r="F107" s="90" t="s">
        <v>562</v>
      </c>
      <c r="G107" s="91" t="s">
        <v>563</v>
      </c>
      <c r="H107" s="92" t="str">
        <f>HYPERLINK("https://drive.google.com/file/d/1BZhBcOgMsscdDhIgSbtj1KQMQPwyap06/view?usp=drivesdk","Dr. Vyomesh Buch-Design of Expriments")</f>
        <v xml:space="preserve">Dr. Vyomesh Buch-Design of Expriments</v>
      </c>
      <c r="I107" s="93" t="s">
        <v>558</v>
      </c>
    </row>
    <row r="108" ht="12.75">
      <c r="A108" s="12" t="s">
        <v>475</v>
      </c>
      <c r="B108" s="86" t="s">
        <v>564</v>
      </c>
      <c r="C108" s="87" t="s">
        <v>565</v>
      </c>
      <c r="D108" s="88" t="s">
        <v>566</v>
      </c>
      <c r="E108" s="89">
        <v>46079</v>
      </c>
      <c r="F108" s="90" t="s">
        <v>567</v>
      </c>
      <c r="G108" s="91" t="s">
        <v>568</v>
      </c>
      <c r="H108" s="92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8" s="93" t="s">
        <v>558</v>
      </c>
    </row>
    <row r="109" ht="12.75">
      <c r="A109" s="12" t="s">
        <v>475</v>
      </c>
      <c r="B109" s="86" t="s">
        <v>569</v>
      </c>
      <c r="C109" s="87" t="s">
        <v>570</v>
      </c>
      <c r="D109" s="88" t="s">
        <v>571</v>
      </c>
      <c r="E109" s="89">
        <v>46079</v>
      </c>
      <c r="F109" s="90" t="s">
        <v>572</v>
      </c>
      <c r="G109" s="91" t="s">
        <v>573</v>
      </c>
      <c r="H109" s="92" t="str">
        <f>HYPERLINK("https://drive.google.com/file/d/14EOvKBbcCH4fCkc47aly1-CyueCGYV7E/view?usp=drivesdk","Samkit Shah-Special Purpose Vehicles")</f>
        <v xml:space="preserve">Samkit Shah-Special Purpose Vehicles</v>
      </c>
      <c r="I109" s="93" t="s">
        <v>558</v>
      </c>
    </row>
    <row r="110" ht="12.75">
      <c r="A110" s="12" t="s">
        <v>475</v>
      </c>
      <c r="B110" s="86" t="s">
        <v>574</v>
      </c>
      <c r="C110" s="94" t="s">
        <v>575</v>
      </c>
      <c r="D110" s="88" t="s">
        <v>576</v>
      </c>
      <c r="E110" s="89">
        <v>46079</v>
      </c>
      <c r="F110" s="90" t="s">
        <v>577</v>
      </c>
      <c r="G110" s="91" t="s">
        <v>578</v>
      </c>
      <c r="H110" s="92" t="str">
        <f>HYPERLINK("https://drive.google.com/file/d/1WvyFA2gBhDgfesew7cryv5FJ4g-s8YeA/view?usp=drivesdk","Nilesh Shah-Waste &amp; Energy Management")</f>
        <v xml:space="preserve">Nilesh Shah-Waste &amp; Energy Management</v>
      </c>
      <c r="I110" s="93" t="s">
        <v>558</v>
      </c>
    </row>
    <row r="111" ht="12.75">
      <c r="A111" s="12" t="s">
        <v>475</v>
      </c>
      <c r="B111" s="86" t="s">
        <v>579</v>
      </c>
      <c r="C111" s="87" t="s">
        <v>580</v>
      </c>
      <c r="D111" s="88" t="s">
        <v>581</v>
      </c>
      <c r="E111" s="89">
        <v>46079</v>
      </c>
      <c r="F111" s="90" t="s">
        <v>582</v>
      </c>
      <c r="G111" s="91" t="s">
        <v>583</v>
      </c>
      <c r="H111" s="92" t="str">
        <f>HYPERLINK("https://drive.google.com/file/d/1rWv-YrjXxlRLEz3JyOidnmbW2aWmx3ns/view?usp=drivesdk","Shailesh Parmar-Fuels &amp; Lubricants")</f>
        <v xml:space="preserve">Shailesh Parmar-Fuels &amp; Lubricants</v>
      </c>
      <c r="I111" s="93" t="s">
        <v>584</v>
      </c>
    </row>
    <row r="112" ht="12.75">
      <c r="A112" s="12" t="s">
        <v>475</v>
      </c>
      <c r="B112" s="86" t="s">
        <v>585</v>
      </c>
      <c r="C112" s="87" t="s">
        <v>549</v>
      </c>
      <c r="D112" s="88" t="s">
        <v>586</v>
      </c>
      <c r="E112" s="89">
        <v>46079</v>
      </c>
      <c r="F112" s="90" t="s">
        <v>587</v>
      </c>
      <c r="G112" s="91" t="s">
        <v>588</v>
      </c>
      <c r="H112" s="92" t="str">
        <f>HYPERLINK("https://drive.google.com/file/d/1yxAjCpcuQqbAXC2zEjfcIy9hA3SgyC-P/view?usp=drivesdk","Krunal Ajmeri-Automobile Engines")</f>
        <v xml:space="preserve">Krunal Ajmeri-Automobile Engines</v>
      </c>
      <c r="I112" s="93" t="s">
        <v>584</v>
      </c>
    </row>
    <row r="113" ht="12.75">
      <c r="A113" s="12" t="s">
        <v>475</v>
      </c>
      <c r="B113" s="86" t="s">
        <v>589</v>
      </c>
      <c r="C113" s="87" t="s">
        <v>590</v>
      </c>
      <c r="D113" s="88" t="s">
        <v>591</v>
      </c>
      <c r="E113" s="89">
        <v>46079</v>
      </c>
      <c r="F113" s="90" t="s">
        <v>592</v>
      </c>
      <c r="G113" s="91" t="s">
        <v>593</v>
      </c>
      <c r="H113" s="92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13" s="93" t="s">
        <v>584</v>
      </c>
    </row>
    <row r="114" ht="12.75">
      <c r="A114" s="12" t="s">
        <v>475</v>
      </c>
      <c r="B114" s="86" t="s">
        <v>594</v>
      </c>
      <c r="C114" s="87" t="s">
        <v>595</v>
      </c>
      <c r="D114" s="88" t="s">
        <v>596</v>
      </c>
      <c r="E114" s="89">
        <v>46079</v>
      </c>
      <c r="F114" s="90" t="s">
        <v>597</v>
      </c>
      <c r="G114" s="91" t="s">
        <v>598</v>
      </c>
      <c r="H114" s="92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14" s="93" t="s">
        <v>584</v>
      </c>
    </row>
    <row r="115" ht="12.75">
      <c r="A115" s="12" t="s">
        <v>475</v>
      </c>
      <c r="B115" s="86" t="s">
        <v>599</v>
      </c>
      <c r="C115" s="87" t="s">
        <v>600</v>
      </c>
      <c r="D115" s="88" t="s">
        <v>601</v>
      </c>
      <c r="E115" s="89">
        <v>46079</v>
      </c>
      <c r="F115" s="90" t="s">
        <v>602</v>
      </c>
      <c r="G115" s="91" t="s">
        <v>603</v>
      </c>
      <c r="H115" s="92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5" s="93" t="s">
        <v>584</v>
      </c>
    </row>
    <row r="116" ht="12.75">
      <c r="A116" s="12" t="s">
        <v>475</v>
      </c>
      <c r="B116" s="86" t="s">
        <v>604</v>
      </c>
      <c r="C116" s="87" t="s">
        <v>605</v>
      </c>
      <c r="D116" s="88" t="s">
        <v>606</v>
      </c>
      <c r="E116" s="89">
        <v>46079</v>
      </c>
      <c r="F116" s="90" t="s">
        <v>607</v>
      </c>
      <c r="G116" s="91" t="s">
        <v>608</v>
      </c>
      <c r="H116" s="92" t="str">
        <f>HYPERLINK("https://drive.google.com/file/d/19BswsiSvaEuXk2hAxllkLDiP3bjDKxTo/view?usp=drivesdk","Dr. Heli A. Shah-Autotronics")</f>
        <v xml:space="preserve">Dr. Heli A. Shah-Autotronics</v>
      </c>
      <c r="I116" s="93" t="s">
        <v>584</v>
      </c>
    </row>
    <row r="117" ht="12.75">
      <c r="A117" s="12" t="s">
        <v>475</v>
      </c>
      <c r="B117" s="86" t="s">
        <v>609</v>
      </c>
      <c r="C117" s="87" t="s">
        <v>610</v>
      </c>
      <c r="D117" s="88" t="s">
        <v>611</v>
      </c>
      <c r="E117" s="89">
        <v>46079</v>
      </c>
      <c r="F117" s="90" t="s">
        <v>612</v>
      </c>
      <c r="G117" s="91" t="s">
        <v>613</v>
      </c>
      <c r="H117" s="92" t="str">
        <f>HYPERLINK("https://drive.google.com/file/d/1DGDRY4UikR6wvPBJZVCoPAdN9xmI5GcK/view?usp=drivesdk","Mr. Prashant Tomar-Manufacturing Process")</f>
        <v xml:space="preserve">Mr. Prashant Tomar-Manufacturing Process</v>
      </c>
      <c r="I117" s="93" t="s">
        <v>614</v>
      </c>
    </row>
    <row r="118" ht="12.75">
      <c r="A118" s="12" t="s">
        <v>475</v>
      </c>
      <c r="B118" s="86" t="s">
        <v>615</v>
      </c>
      <c r="C118" s="87" t="s">
        <v>616</v>
      </c>
      <c r="D118" s="88" t="s">
        <v>617</v>
      </c>
      <c r="E118" s="89">
        <v>46079</v>
      </c>
      <c r="F118" s="90" t="s">
        <v>618</v>
      </c>
      <c r="G118" s="91" t="s">
        <v>619</v>
      </c>
      <c r="H118" s="92" t="str">
        <f>HYPERLINK("https://drive.google.com/file/d/1NYEQ3baCCWOPoF6s0fwbBj8I0X0lz4KG/view?usp=drivesdk","Dr. Sharad Tiwari-Control Theory")</f>
        <v xml:space="preserve">Dr. Sharad Tiwari-Control Theory</v>
      </c>
      <c r="I118" s="93" t="s">
        <v>614</v>
      </c>
    </row>
    <row r="119" ht="12.75">
      <c r="A119" s="12" t="s">
        <v>475</v>
      </c>
      <c r="B119" s="86" t="s">
        <v>620</v>
      </c>
      <c r="C119" s="87" t="s">
        <v>621</v>
      </c>
      <c r="D119" s="88" t="s">
        <v>622</v>
      </c>
      <c r="E119" s="89">
        <v>46079</v>
      </c>
      <c r="F119" s="90" t="s">
        <v>623</v>
      </c>
      <c r="G119" s="91" t="s">
        <v>624</v>
      </c>
      <c r="H119" s="92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9" s="93" t="s">
        <v>614</v>
      </c>
    </row>
    <row r="120" ht="12.75">
      <c r="A120" s="12" t="s">
        <v>475</v>
      </c>
      <c r="B120" s="86" t="s">
        <v>625</v>
      </c>
      <c r="C120" s="87" t="s">
        <v>626</v>
      </c>
      <c r="D120" s="88" t="s">
        <v>627</v>
      </c>
      <c r="E120" s="89">
        <v>46079</v>
      </c>
      <c r="F120" s="90" t="s">
        <v>628</v>
      </c>
      <c r="G120" s="91" t="s">
        <v>629</v>
      </c>
      <c r="H120" s="92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20" s="93" t="s">
        <v>614</v>
      </c>
    </row>
    <row r="121" ht="12.75">
      <c r="A121" s="12" t="s">
        <v>475</v>
      </c>
      <c r="B121" s="86" t="s">
        <v>630</v>
      </c>
      <c r="C121" s="94" t="s">
        <v>631</v>
      </c>
      <c r="D121" s="88" t="s">
        <v>632</v>
      </c>
      <c r="E121" s="89">
        <v>46079</v>
      </c>
      <c r="F121" s="90" t="s">
        <v>633</v>
      </c>
      <c r="G121" s="91" t="s">
        <v>634</v>
      </c>
      <c r="H121" s="92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 </v>
      </c>
      <c r="I121" s="93" t="s">
        <v>614</v>
      </c>
    </row>
    <row r="122" ht="12.75">
      <c r="A122" s="12" t="s">
        <v>475</v>
      </c>
      <c r="B122" s="86" t="s">
        <v>635</v>
      </c>
      <c r="C122" s="94" t="s">
        <v>636</v>
      </c>
      <c r="D122" s="88" t="s">
        <v>637</v>
      </c>
      <c r="E122" s="89">
        <v>46079</v>
      </c>
      <c r="F122" s="90" t="s">
        <v>638</v>
      </c>
      <c r="G122" s="91" t="s">
        <v>639</v>
      </c>
      <c r="H122" s="92" t="str">
        <f>HYPERLINK("https://drive.google.com/file/d/1AMpsAEoGxXR8JxtM_ncYVBFgfSO5UF3n/view?usp=drivesdk","Dr. Harsh Kumar Dixit-Quality and Reliability Engineering ")</f>
        <v xml:space="preserve">Dr. Harsh Kumar Dixit-Quality and Reliability Engineering </v>
      </c>
      <c r="I122" s="93" t="s">
        <v>640</v>
      </c>
    </row>
    <row r="123" ht="12.75">
      <c r="A123" s="12" t="s">
        <v>475</v>
      </c>
      <c r="B123" s="86" t="s">
        <v>641</v>
      </c>
      <c r="C123" s="87" t="s">
        <v>642</v>
      </c>
      <c r="D123" s="88" t="s">
        <v>643</v>
      </c>
      <c r="E123" s="89">
        <v>46079</v>
      </c>
      <c r="F123" s="90" t="s">
        <v>644</v>
      </c>
      <c r="G123" s="91" t="s">
        <v>645</v>
      </c>
      <c r="H123" s="92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23" s="93" t="s">
        <v>640</v>
      </c>
    </row>
    <row r="124" ht="12.75">
      <c r="A124" s="12" t="s">
        <v>475</v>
      </c>
      <c r="B124" s="86" t="s">
        <v>646</v>
      </c>
      <c r="C124" s="87" t="s">
        <v>647</v>
      </c>
      <c r="D124" s="88" t="s">
        <v>648</v>
      </c>
      <c r="E124" s="89">
        <v>46079</v>
      </c>
      <c r="F124" s="90" t="s">
        <v>649</v>
      </c>
      <c r="G124" s="91" t="s">
        <v>650</v>
      </c>
      <c r="H124" s="92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24" s="93" t="s">
        <v>640</v>
      </c>
    </row>
    <row r="125" ht="12.75">
      <c r="A125" s="12" t="s">
        <v>475</v>
      </c>
      <c r="B125" s="86" t="s">
        <v>651</v>
      </c>
      <c r="C125" s="87" t="s">
        <v>652</v>
      </c>
      <c r="D125" s="88" t="s">
        <v>653</v>
      </c>
      <c r="E125" s="89">
        <v>46079</v>
      </c>
      <c r="F125" s="90" t="s">
        <v>654</v>
      </c>
      <c r="G125" s="91" t="s">
        <v>655</v>
      </c>
      <c r="H125" s="92" t="str">
        <f>HYPERLINK("https://drive.google.com/file/d/1pPobSkz5KpPAyDAZv770KFxzQxJqnB5I/view?usp=drivesdk","Dr. Jignesh Desai-Power Electronics")</f>
        <v xml:space="preserve">Dr. Jignesh Desai-Power Electronics</v>
      </c>
      <c r="I125" s="93" t="s">
        <v>640</v>
      </c>
    </row>
    <row r="126" ht="12.75">
      <c r="A126" s="12" t="s">
        <v>475</v>
      </c>
      <c r="B126" s="86" t="s">
        <v>656</v>
      </c>
      <c r="C126" s="87" t="s">
        <v>657</v>
      </c>
      <c r="D126" s="88" t="s">
        <v>658</v>
      </c>
      <c r="E126" s="89">
        <v>46079</v>
      </c>
      <c r="F126" s="90" t="s">
        <v>659</v>
      </c>
      <c r="G126" s="91" t="s">
        <v>660</v>
      </c>
      <c r="H126" s="92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6" s="93" t="s">
        <v>640</v>
      </c>
    </row>
    <row r="127" ht="12.75">
      <c r="A127" s="12" t="s">
        <v>475</v>
      </c>
      <c r="B127" s="86" t="s">
        <v>661</v>
      </c>
      <c r="C127" s="87" t="s">
        <v>662</v>
      </c>
      <c r="D127" s="88" t="s">
        <v>663</v>
      </c>
      <c r="E127" s="89">
        <v>46079</v>
      </c>
      <c r="F127" s="90" t="s">
        <v>664</v>
      </c>
      <c r="G127" s="91" t="s">
        <v>665</v>
      </c>
      <c r="H127" s="92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7" s="93" t="s">
        <v>640</v>
      </c>
    </row>
    <row r="128" ht="12.75">
      <c r="A128" s="12" t="s">
        <v>475</v>
      </c>
      <c r="B128" s="86" t="s">
        <v>666</v>
      </c>
      <c r="C128" s="87" t="s">
        <v>667</v>
      </c>
      <c r="D128" s="88" t="s">
        <v>668</v>
      </c>
      <c r="E128" s="89">
        <v>46079</v>
      </c>
      <c r="F128" s="90" t="s">
        <v>669</v>
      </c>
      <c r="G128" s="91" t="s">
        <v>670</v>
      </c>
      <c r="H128" s="92" t="str">
        <f>HYPERLINK("https://drive.google.com/file/d/14ZUu-iBafKfa9HtxICkSM_1W7rVeVmbI/view?usp=drivesdk","Mr. Jagdish Pampania-Material Engineering")</f>
        <v xml:space="preserve">Mr. Jagdish Pampania-Material Engineering</v>
      </c>
      <c r="I128" s="93" t="s">
        <v>671</v>
      </c>
    </row>
    <row r="129" ht="12.75">
      <c r="A129" s="12" t="s">
        <v>475</v>
      </c>
      <c r="B129" s="86" t="s">
        <v>672</v>
      </c>
      <c r="C129" s="94" t="s">
        <v>673</v>
      </c>
      <c r="D129" s="88" t="s">
        <v>674</v>
      </c>
      <c r="E129" s="89">
        <v>46079</v>
      </c>
      <c r="F129" s="90" t="s">
        <v>675</v>
      </c>
      <c r="G129" s="91" t="s">
        <v>676</v>
      </c>
      <c r="H129" s="92" t="str">
        <f>HYPERLINK("https://drive.google.com/file/d/1m6huuxPftcWupVJGWKiU6UaqPlZkJAVM/view?usp=drivesdk","Mr. Manjeet Khare-Engineering Thermodynamics ")</f>
        <v xml:space="preserve">Mr. Manjeet Khare-Engineering Thermodynamics </v>
      </c>
      <c r="I129" s="93" t="s">
        <v>671</v>
      </c>
    </row>
    <row r="130" ht="12.75">
      <c r="A130" s="12" t="s">
        <v>475</v>
      </c>
      <c r="B130" s="86" t="s">
        <v>677</v>
      </c>
      <c r="C130" s="87" t="s">
        <v>678</v>
      </c>
      <c r="D130" s="88" t="s">
        <v>679</v>
      </c>
      <c r="E130" s="89">
        <v>46079</v>
      </c>
      <c r="F130" s="90" t="s">
        <v>680</v>
      </c>
      <c r="G130" s="91" t="s">
        <v>681</v>
      </c>
      <c r="H130" s="92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30" s="93" t="s">
        <v>671</v>
      </c>
    </row>
    <row r="131" ht="12.75">
      <c r="A131" s="12" t="s">
        <v>475</v>
      </c>
      <c r="B131" s="86" t="s">
        <v>682</v>
      </c>
      <c r="C131" s="87" t="s">
        <v>683</v>
      </c>
      <c r="D131" s="88" t="s">
        <v>684</v>
      </c>
      <c r="E131" s="89">
        <v>46079</v>
      </c>
      <c r="F131" s="90" t="s">
        <v>685</v>
      </c>
      <c r="G131" s="91" t="s">
        <v>686</v>
      </c>
      <c r="H131" s="92" t="str">
        <f>HYPERLINK("https://drive.google.com/file/d/17D0s87dfdhpwupAtE_yzaeq9DTQhXC7O/view?usp=drivesdk","Dr.Vivek Kumar-Python Programming and ROS")</f>
        <v xml:space="preserve">Dr.Vivek Kumar-Python Programming and ROS</v>
      </c>
      <c r="I131" s="93" t="s">
        <v>671</v>
      </c>
    </row>
    <row r="132" ht="12.75">
      <c r="A132" s="12" t="s">
        <v>475</v>
      </c>
      <c r="B132" s="86" t="s">
        <v>687</v>
      </c>
      <c r="C132" s="87" t="s">
        <v>688</v>
      </c>
      <c r="D132" s="88" t="s">
        <v>689</v>
      </c>
      <c r="E132" s="96">
        <v>46079</v>
      </c>
      <c r="F132" s="90" t="s">
        <v>690</v>
      </c>
      <c r="G132" s="91" t="s">
        <v>691</v>
      </c>
      <c r="H132" s="92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32" s="93" t="s">
        <v>671</v>
      </c>
    </row>
    <row r="133" ht="12.75">
      <c r="A133" s="12" t="s">
        <v>475</v>
      </c>
      <c r="B133" s="86" t="s">
        <v>692</v>
      </c>
      <c r="C133" s="87" t="s">
        <v>693</v>
      </c>
      <c r="D133" s="97" t="s">
        <v>694</v>
      </c>
      <c r="E133" s="98">
        <v>46086</v>
      </c>
      <c r="F133" s="90" t="s">
        <v>695</v>
      </c>
      <c r="G133" s="91" t="s">
        <v>696</v>
      </c>
      <c r="H133" s="92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33" s="93" t="s">
        <v>671</v>
      </c>
    </row>
    <row r="134" ht="12.75">
      <c r="A134" s="12" t="s">
        <v>475</v>
      </c>
      <c r="B134" s="86" t="s">
        <v>697</v>
      </c>
      <c r="C134" s="87" t="s">
        <v>698</v>
      </c>
      <c r="D134" s="88" t="s">
        <v>699</v>
      </c>
      <c r="E134" s="96">
        <v>46079</v>
      </c>
      <c r="F134" s="90" t="s">
        <v>700</v>
      </c>
      <c r="G134" s="91" t="s">
        <v>701</v>
      </c>
      <c r="H134" s="92" t="str">
        <f>HYPERLINK("https://drive.google.com/file/d/1q1jXXZQSy6LlwQTAHH807YDPNzM8u3nh/view?usp=drivesdk","Mr. Soumil Raja-Python Programming")</f>
        <v xml:space="preserve">Mr. Soumil Raja-Python Programming</v>
      </c>
      <c r="I134" s="93" t="s">
        <v>702</v>
      </c>
    </row>
    <row r="135" ht="12.75">
      <c r="A135" s="12" t="s">
        <v>475</v>
      </c>
      <c r="B135" s="86" t="s">
        <v>703</v>
      </c>
      <c r="C135" s="87" t="s">
        <v>621</v>
      </c>
      <c r="D135" s="97" t="s">
        <v>704</v>
      </c>
      <c r="E135" s="98">
        <v>46086</v>
      </c>
      <c r="F135" s="90" t="s">
        <v>705</v>
      </c>
      <c r="G135" s="91" t="s">
        <v>706</v>
      </c>
      <c r="H135" s="92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5" s="93" t="s">
        <v>707</v>
      </c>
    </row>
    <row r="136" ht="12.75">
      <c r="A136" s="12" t="s">
        <v>475</v>
      </c>
      <c r="B136" s="99" t="s">
        <v>708</v>
      </c>
      <c r="C136" s="100" t="s">
        <v>709</v>
      </c>
      <c r="D136" s="97" t="s">
        <v>710</v>
      </c>
      <c r="E136" s="98">
        <v>46086</v>
      </c>
      <c r="F136" s="90" t="s">
        <v>711</v>
      </c>
      <c r="G136" s="91" t="s">
        <v>712</v>
      </c>
      <c r="H136" s="92" t="str">
        <f>HYPERLINK("https://drive.google.com/file/d/1tbkZCQWjKjAqvtIWvC_DW5eDPli0AMJ-/view?usp=drivesdk","Dr. Pramod Kumar-Food Chemistry II")</f>
        <v xml:space="preserve">Dr. Pramod Kumar-Food Chemistry II</v>
      </c>
      <c r="I136" s="93" t="s">
        <v>707</v>
      </c>
    </row>
    <row r="137" ht="12.75">
      <c r="A137" s="12" t="s">
        <v>475</v>
      </c>
      <c r="B137" s="99" t="s">
        <v>713</v>
      </c>
      <c r="C137" s="100" t="s">
        <v>714</v>
      </c>
      <c r="D137" s="97" t="s">
        <v>715</v>
      </c>
      <c r="E137" s="98">
        <v>46086</v>
      </c>
      <c r="F137" s="90" t="s">
        <v>716</v>
      </c>
      <c r="G137" s="91" t="s">
        <v>717</v>
      </c>
      <c r="H137" s="92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7" s="93" t="s">
        <v>718</v>
      </c>
    </row>
    <row r="138" ht="12.75">
      <c r="A138" s="12" t="s">
        <v>475</v>
      </c>
      <c r="B138" s="99" t="s">
        <v>719</v>
      </c>
      <c r="C138" s="100" t="s">
        <v>720</v>
      </c>
      <c r="D138" s="97" t="s">
        <v>721</v>
      </c>
      <c r="E138" s="98">
        <v>46086</v>
      </c>
      <c r="F138" s="90" t="s">
        <v>722</v>
      </c>
      <c r="G138" s="91" t="s">
        <v>723</v>
      </c>
      <c r="H138" s="92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8" s="93" t="s">
        <v>718</v>
      </c>
    </row>
    <row r="139" ht="12.75">
      <c r="A139" s="12" t="s">
        <v>475</v>
      </c>
      <c r="B139" s="99" t="s">
        <v>724</v>
      </c>
      <c r="C139" s="100" t="s">
        <v>725</v>
      </c>
      <c r="D139" s="97" t="s">
        <v>726</v>
      </c>
      <c r="E139" s="98">
        <v>46086</v>
      </c>
      <c r="F139" s="90" t="s">
        <v>727</v>
      </c>
      <c r="G139" s="91" t="s">
        <v>728</v>
      </c>
      <c r="H139" s="92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9" s="93" t="s">
        <v>718</v>
      </c>
    </row>
    <row r="140" ht="12.75">
      <c r="A140" s="12" t="s">
        <v>475</v>
      </c>
      <c r="B140" s="99" t="s">
        <v>729</v>
      </c>
      <c r="C140" s="100" t="s">
        <v>730</v>
      </c>
      <c r="D140" s="97" t="s">
        <v>731</v>
      </c>
      <c r="E140" s="98">
        <v>46086</v>
      </c>
      <c r="F140" s="90" t="s">
        <v>732</v>
      </c>
      <c r="G140" s="91" t="s">
        <v>733</v>
      </c>
      <c r="H140" s="92" t="str">
        <f>HYPERLINK("https://drive.google.com/file/d/195erdB_CwDviiWwmdSiNrAUoRaCmyoj2/view?usp=drivesdk","Dr. Shaikh Adil-By Products Technology")</f>
        <v xml:space="preserve">Dr. Shaikh Adil-By Products Technology</v>
      </c>
      <c r="I140" s="93" t="s">
        <v>718</v>
      </c>
    </row>
    <row r="141" ht="12.75">
      <c r="A141" s="12" t="s">
        <v>475</v>
      </c>
      <c r="B141" s="99" t="s">
        <v>734</v>
      </c>
      <c r="C141" s="100" t="s">
        <v>735</v>
      </c>
      <c r="D141" s="97" t="s">
        <v>736</v>
      </c>
      <c r="E141" s="98">
        <v>46086</v>
      </c>
      <c r="F141" s="90" t="s">
        <v>737</v>
      </c>
      <c r="G141" s="91" t="s">
        <v>738</v>
      </c>
      <c r="H141" s="92" t="str">
        <f>HYPERLINK("https://drive.google.com/file/d/1lehOWZv_GRvuIdWwb5xZrjJeNcR9WexZ/view?usp=drivesdk","Dr. Bhavesh Baria-Dairy Products Equipments")</f>
        <v xml:space="preserve">Dr. Bhavesh Baria-Dairy Products Equipments</v>
      </c>
      <c r="I141" s="93" t="s">
        <v>718</v>
      </c>
    </row>
    <row r="142" ht="12.75">
      <c r="A142" s="12" t="s">
        <v>475</v>
      </c>
      <c r="B142" s="99" t="s">
        <v>739</v>
      </c>
      <c r="C142" s="100" t="s">
        <v>740</v>
      </c>
      <c r="D142" s="97" t="s">
        <v>741</v>
      </c>
      <c r="E142" s="98">
        <v>46086</v>
      </c>
      <c r="F142" s="90" t="s">
        <v>742</v>
      </c>
      <c r="G142" s="91" t="s">
        <v>743</v>
      </c>
      <c r="H142" s="92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42" s="93" t="s">
        <v>718</v>
      </c>
    </row>
    <row r="143" ht="12.75">
      <c r="A143" s="12" t="s">
        <v>475</v>
      </c>
      <c r="B143" s="99" t="s">
        <v>744</v>
      </c>
      <c r="C143" s="101" t="s">
        <v>745</v>
      </c>
      <c r="D143" s="97" t="s">
        <v>746</v>
      </c>
      <c r="E143" s="98">
        <v>46086</v>
      </c>
      <c r="F143" s="90" t="s">
        <v>747</v>
      </c>
      <c r="G143" s="91" t="s">
        <v>748</v>
      </c>
      <c r="H143" s="92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43" s="93" t="s">
        <v>749</v>
      </c>
    </row>
    <row r="144" ht="12.75">
      <c r="A144" s="12" t="s">
        <v>475</v>
      </c>
      <c r="B144" s="95" t="s">
        <v>750</v>
      </c>
      <c r="C144" s="102" t="s">
        <v>751</v>
      </c>
      <c r="D144" s="97" t="s">
        <v>752</v>
      </c>
      <c r="E144" s="103">
        <v>46015</v>
      </c>
      <c r="F144" s="90" t="s">
        <v>753</v>
      </c>
      <c r="G144" s="91" t="s">
        <v>754</v>
      </c>
      <c r="H144" s="92" t="str">
        <f>HYPERLINK("https://drive.google.com/file/d/1AQpA5X_OxE6fBo07x_yvzQ8FWWRooqmK/view?usp=drivesdk","Umangkumar B. Zalavadiya-Watershed Hydrology")</f>
        <v xml:space="preserve">Umangkumar B. Zalavadiya-Watershed Hydrology</v>
      </c>
      <c r="I144" s="93" t="s">
        <v>755</v>
      </c>
    </row>
    <row r="145" ht="12.75">
      <c r="A145" s="12" t="s">
        <v>475</v>
      </c>
      <c r="B145" s="95" t="s">
        <v>756</v>
      </c>
      <c r="C145" s="104" t="s">
        <v>757</v>
      </c>
      <c r="D145" s="97" t="s">
        <v>758</v>
      </c>
      <c r="E145" s="103">
        <v>46015</v>
      </c>
      <c r="F145" s="90" t="s">
        <v>759</v>
      </c>
      <c r="G145" s="91" t="s">
        <v>760</v>
      </c>
      <c r="H145" s="92" t="str">
        <f>HYPERLINK("https://drive.google.com/file/d/1q6kzZAsVlVhLCXzTWON1N4_PoHuN753E/view?usp=drivesdk","Prof. Dixit mistry-Farm Tractor Systems and Controls ")</f>
        <v xml:space="preserve">Prof. Dixit mistry-Farm Tractor Systems and Controls </v>
      </c>
      <c r="I145" s="93" t="s">
        <v>755</v>
      </c>
    </row>
    <row r="146" ht="12.75">
      <c r="A146" s="12" t="s">
        <v>475</v>
      </c>
      <c r="B146" s="105" t="s">
        <v>761</v>
      </c>
      <c r="C146" s="106" t="s">
        <v>192</v>
      </c>
      <c r="D146" s="97" t="s">
        <v>762</v>
      </c>
      <c r="E146" s="103">
        <v>46015</v>
      </c>
      <c r="F146" s="90" t="s">
        <v>763</v>
      </c>
      <c r="G146" s="91" t="s">
        <v>764</v>
      </c>
      <c r="H146" s="92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6" s="93" t="s">
        <v>765</v>
      </c>
    </row>
    <row r="147" ht="12.75">
      <c r="A147" s="12" t="s">
        <v>475</v>
      </c>
      <c r="B147" s="105" t="s">
        <v>766</v>
      </c>
      <c r="C147" s="106" t="s">
        <v>767</v>
      </c>
      <c r="D147" s="97" t="s">
        <v>768</v>
      </c>
      <c r="E147" s="103">
        <v>46079</v>
      </c>
      <c r="F147" s="90" t="s">
        <v>769</v>
      </c>
      <c r="G147" s="91" t="s">
        <v>770</v>
      </c>
      <c r="H147" s="92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7" s="93" t="s">
        <v>749</v>
      </c>
    </row>
    <row r="148" ht="12.75">
      <c r="A148" s="12" t="s">
        <v>475</v>
      </c>
      <c r="B148" s="105" t="s">
        <v>771</v>
      </c>
      <c r="C148" s="106" t="s">
        <v>772</v>
      </c>
      <c r="D148" s="97" t="s">
        <v>773</v>
      </c>
      <c r="E148" s="103">
        <v>46015</v>
      </c>
      <c r="F148" s="90" t="s">
        <v>774</v>
      </c>
      <c r="G148" s="91" t="s">
        <v>775</v>
      </c>
      <c r="H148" s="92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8" s="93" t="s">
        <v>765</v>
      </c>
    </row>
    <row r="149" ht="12.75">
      <c r="A149" s="12" t="s">
        <v>475</v>
      </c>
      <c r="B149" s="105" t="s">
        <v>776</v>
      </c>
      <c r="C149" s="106" t="s">
        <v>777</v>
      </c>
      <c r="D149" s="97" t="s">
        <v>778</v>
      </c>
      <c r="E149" s="103">
        <v>46015</v>
      </c>
      <c r="F149" s="90" t="s">
        <v>779</v>
      </c>
      <c r="G149" s="91" t="s">
        <v>780</v>
      </c>
      <c r="H149" s="92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9" s="93" t="s">
        <v>765</v>
      </c>
    </row>
    <row r="150" ht="12.75">
      <c r="A150" s="12" t="s">
        <v>475</v>
      </c>
      <c r="B150" s="105" t="s">
        <v>781</v>
      </c>
      <c r="C150" s="106" t="s">
        <v>782</v>
      </c>
      <c r="D150" s="97" t="s">
        <v>783</v>
      </c>
      <c r="E150" s="103">
        <v>46015</v>
      </c>
      <c r="F150" s="90" t="s">
        <v>784</v>
      </c>
      <c r="G150" s="91" t="s">
        <v>785</v>
      </c>
      <c r="H150" s="92" t="str">
        <f>HYPERLINK("https://drive.google.com/file/d/1CPYrpZYs80zI_8cyJ5KM6pSeVBGHia03/view?usp=drivesdk","Mrs. Arpita Meet Vaidya-Software Engineering")</f>
        <v xml:space="preserve">Mrs. Arpita Meet Vaidya-Software Engineering</v>
      </c>
      <c r="I150" s="93" t="s">
        <v>765</v>
      </c>
    </row>
    <row r="151" ht="12.75">
      <c r="A151" s="12" t="s">
        <v>475</v>
      </c>
      <c r="B151" s="105" t="s">
        <v>786</v>
      </c>
      <c r="C151" s="106" t="s">
        <v>787</v>
      </c>
      <c r="D151" s="97" t="s">
        <v>788</v>
      </c>
      <c r="E151" s="103">
        <v>46015</v>
      </c>
      <c r="F151" s="90" t="s">
        <v>789</v>
      </c>
      <c r="G151" s="91" t="s">
        <v>790</v>
      </c>
      <c r="H151" s="92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51" s="93" t="s">
        <v>765</v>
      </c>
    </row>
    <row r="152" ht="12.75">
      <c r="A152" s="12" t="s">
        <v>475</v>
      </c>
      <c r="B152" s="105" t="s">
        <v>791</v>
      </c>
      <c r="C152" s="106" t="s">
        <v>253</v>
      </c>
      <c r="D152" s="97" t="s">
        <v>792</v>
      </c>
      <c r="E152" s="103">
        <v>46015</v>
      </c>
      <c r="F152" s="90" t="s">
        <v>793</v>
      </c>
      <c r="G152" s="91" t="s">
        <v>794</v>
      </c>
      <c r="H152" s="92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52" s="93" t="s">
        <v>765</v>
      </c>
    </row>
    <row r="153" ht="12.75">
      <c r="A153" s="12" t="s">
        <v>475</v>
      </c>
      <c r="B153" s="105" t="s">
        <v>795</v>
      </c>
      <c r="C153" s="106" t="s">
        <v>796</v>
      </c>
      <c r="D153" s="97" t="s">
        <v>797</v>
      </c>
      <c r="E153" s="103">
        <v>46015</v>
      </c>
      <c r="F153" s="90" t="s">
        <v>798</v>
      </c>
      <c r="G153" s="91" t="s">
        <v>799</v>
      </c>
      <c r="H153" s="92" t="str">
        <f>HYPERLINK("https://drive.google.com/file/d/1eeVS5heDNIk5JXFInogJszBBsYoA6m2h/view?usp=drivesdk","Ms Kinjal Kevin gandhi-AWS")</f>
        <v xml:space="preserve">Ms Kinjal Kevin gandhi-AWS</v>
      </c>
      <c r="I153" s="93" t="s">
        <v>765</v>
      </c>
    </row>
    <row r="154" ht="12.75">
      <c r="A154" s="12" t="s">
        <v>475</v>
      </c>
      <c r="B154" s="105" t="s">
        <v>800</v>
      </c>
      <c r="C154" s="106" t="s">
        <v>801</v>
      </c>
      <c r="D154" s="97" t="s">
        <v>802</v>
      </c>
      <c r="E154" s="103">
        <v>46015</v>
      </c>
      <c r="F154" s="90" t="s">
        <v>803</v>
      </c>
      <c r="G154" s="91" t="s">
        <v>804</v>
      </c>
      <c r="H154" s="92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54" s="93" t="s">
        <v>765</v>
      </c>
    </row>
    <row r="155" ht="12.75">
      <c r="A155" s="12" t="s">
        <v>475</v>
      </c>
      <c r="B155" s="105" t="s">
        <v>805</v>
      </c>
      <c r="C155" s="106" t="s">
        <v>242</v>
      </c>
      <c r="D155" s="97" t="s">
        <v>806</v>
      </c>
      <c r="E155" s="103">
        <v>46015</v>
      </c>
      <c r="F155" s="90" t="s">
        <v>807</v>
      </c>
      <c r="G155" s="91" t="s">
        <v>808</v>
      </c>
      <c r="H155" s="92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5" s="93" t="s">
        <v>809</v>
      </c>
    </row>
    <row r="156" ht="12.75">
      <c r="A156" s="12" t="s">
        <v>475</v>
      </c>
      <c r="B156" s="105" t="s">
        <v>810</v>
      </c>
      <c r="C156" s="106" t="s">
        <v>811</v>
      </c>
      <c r="D156" s="97" t="s">
        <v>812</v>
      </c>
      <c r="E156" s="103">
        <v>46015</v>
      </c>
      <c r="F156" s="90" t="s">
        <v>813</v>
      </c>
      <c r="G156" s="91" t="s">
        <v>814</v>
      </c>
      <c r="H156" s="92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6" s="93" t="s">
        <v>809</v>
      </c>
    </row>
    <row r="157" ht="12.75">
      <c r="A157" s="12" t="s">
        <v>475</v>
      </c>
      <c r="B157" s="105" t="s">
        <v>815</v>
      </c>
      <c r="C157" s="106" t="s">
        <v>816</v>
      </c>
      <c r="D157" s="97" t="s">
        <v>817</v>
      </c>
      <c r="E157" s="103">
        <v>46015</v>
      </c>
      <c r="F157" s="90" t="s">
        <v>818</v>
      </c>
      <c r="G157" s="91" t="s">
        <v>819</v>
      </c>
      <c r="H157" s="92" t="str">
        <f>HYPERLINK("https://drive.google.com/file/d/1TXZkiaoDXxtsNyzABbMrK9jRynf0Ini8/view?usp=drivesdk","Janmejay Kumar Vishwakarma-Big Data Analytics")</f>
        <v xml:space="preserve">Janmejay Kumar Vishwakarma-Big Data Analytics</v>
      </c>
      <c r="I157" s="93" t="s">
        <v>809</v>
      </c>
    </row>
    <row r="158" ht="12.75">
      <c r="A158" s="12" t="s">
        <v>475</v>
      </c>
      <c r="B158" s="107" t="s">
        <v>820</v>
      </c>
      <c r="C158" s="108" t="s">
        <v>821</v>
      </c>
      <c r="D158" s="109" t="s">
        <v>822</v>
      </c>
      <c r="E158" s="110">
        <v>46086</v>
      </c>
      <c r="F158" s="90" t="s">
        <v>823</v>
      </c>
      <c r="G158" s="91" t="s">
        <v>824</v>
      </c>
      <c r="H158" s="92" t="str">
        <f>HYPERLINK("https://drive.google.com/file/d/1QcsW-yrrKZLEFt-tva7I473uwS4OkBLR/view?usp=drivesdk","Ms. Rimpa Kundu-Pattern Recognization ( Unit 2 Lecture notes Pending)")</f>
        <v xml:space="preserve">Ms. Rimpa Kundu-Pattern Recognization ( Unit 2 Lecture notes Pending)</v>
      </c>
      <c r="I158" s="93" t="s">
        <v>825</v>
      </c>
    </row>
    <row r="159" ht="12.75">
      <c r="A159" s="12" t="s">
        <v>475</v>
      </c>
      <c r="B159" s="105" t="s">
        <v>826</v>
      </c>
      <c r="C159" s="106" t="s">
        <v>827</v>
      </c>
      <c r="D159" s="97" t="s">
        <v>828</v>
      </c>
      <c r="E159" s="103">
        <v>46015</v>
      </c>
      <c r="F159" s="90" t="s">
        <v>829</v>
      </c>
      <c r="G159" s="91" t="s">
        <v>830</v>
      </c>
      <c r="H159" s="92" t="str">
        <f>HYPERLINK("https://drive.google.com/file/d/1C_peDq2Xab0Wf_dm-9yMf1GjpGb-QRUb/view?usp=drivesdk","Dr. SHIV SHAKTI SHRIVASTAVA-Deep Learning with NLP")</f>
        <v xml:space="preserve">Dr. SHIV SHAKTI SHRIVASTAVA-Deep Learning with NLP</v>
      </c>
      <c r="I159" s="93" t="s">
        <v>831</v>
      </c>
    </row>
    <row r="160" ht="12.75">
      <c r="A160" s="12" t="s">
        <v>475</v>
      </c>
      <c r="B160" s="111" t="s">
        <v>766</v>
      </c>
      <c r="C160" s="106" t="s">
        <v>767</v>
      </c>
      <c r="D160" s="97" t="s">
        <v>832</v>
      </c>
      <c r="E160" s="112">
        <v>46086</v>
      </c>
      <c r="F160" s="90" t="s">
        <v>833</v>
      </c>
      <c r="G160" s="91" t="s">
        <v>834</v>
      </c>
      <c r="H160" s="92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60" s="93" t="s">
        <v>835</v>
      </c>
    </row>
    <row r="161" ht="12.75">
      <c r="A161" s="12" t="s">
        <v>475</v>
      </c>
      <c r="B161" s="95" t="s">
        <v>836</v>
      </c>
      <c r="C161" s="113" t="s">
        <v>837</v>
      </c>
      <c r="D161" s="97" t="s">
        <v>838</v>
      </c>
      <c r="E161" s="103">
        <v>46015</v>
      </c>
      <c r="F161" s="90" t="s">
        <v>839</v>
      </c>
      <c r="G161" s="91" t="s">
        <v>840</v>
      </c>
      <c r="H161" s="92" t="str">
        <f>HYPERLINK("https://drive.google.com/file/d/1FhPCTCYR56g15R32FgF8pX1cN3rirpmc/view?usp=drivesdk","Rahul Prajapati-Engineering Mathematics-1_")</f>
        <v xml:space="preserve">Rahul Prajapati-Engineering Mathematics-1_</v>
      </c>
      <c r="I161" s="93" t="s">
        <v>831</v>
      </c>
    </row>
    <row r="162" ht="12.75">
      <c r="A162" s="12" t="s">
        <v>475</v>
      </c>
      <c r="B162" s="113" t="s">
        <v>841</v>
      </c>
      <c r="C162" s="113" t="s">
        <v>842</v>
      </c>
      <c r="D162" s="97" t="s">
        <v>843</v>
      </c>
      <c r="E162" s="103">
        <v>46015</v>
      </c>
      <c r="F162" s="90" t="s">
        <v>844</v>
      </c>
      <c r="G162" s="91" t="s">
        <v>845</v>
      </c>
      <c r="H162" s="92" t="str">
        <f>HYPERLINK("https://drive.google.com/file/d/1H_kQmBARSBT7NyBU7vpDSlztgrKErIqO/view?usp=drivesdk","Vishakha Khambhati-Bio potential and Recorders ")</f>
        <v xml:space="preserve">Vishakha Khambhati-Bio potential and Recorders </v>
      </c>
      <c r="I162" s="93" t="s">
        <v>831</v>
      </c>
    </row>
    <row r="163" ht="12.75">
      <c r="A163" s="114" t="s">
        <v>846</v>
      </c>
      <c r="B163" s="115" t="s">
        <v>847</v>
      </c>
      <c r="C163" s="116" t="s">
        <v>848</v>
      </c>
      <c r="D163" s="117" t="s">
        <v>849</v>
      </c>
      <c r="E163" s="118">
        <v>46059</v>
      </c>
      <c r="F163" s="119" t="s">
        <v>850</v>
      </c>
      <c r="G163" s="120" t="s">
        <v>851</v>
      </c>
      <c r="H163" s="121" t="str">
        <f>HYPERLINK("https://drive.google.com/file/d/1wxhG2NRo1DLeBOT9BjVGPm8BB5gtK4Gl/view?usp=drivesdk","Mr. Vivek Joshi-Human Anatomy and Physiology")</f>
        <v xml:space="preserve">Mr. Vivek Joshi-Human Anatomy and Physiology</v>
      </c>
      <c r="I163" s="122" t="s">
        <v>852</v>
      </c>
    </row>
    <row r="164" ht="12.75">
      <c r="A164" s="114" t="s">
        <v>846</v>
      </c>
      <c r="B164" s="115" t="s">
        <v>853</v>
      </c>
      <c r="C164" s="123" t="s">
        <v>854</v>
      </c>
      <c r="D164" s="117" t="s">
        <v>855</v>
      </c>
      <c r="E164" s="118">
        <v>46059</v>
      </c>
      <c r="F164" s="119" t="s">
        <v>856</v>
      </c>
      <c r="G164" s="120" t="s">
        <v>857</v>
      </c>
      <c r="H164" s="121" t="str">
        <f>HYPERLINK("https://drive.google.com/file/d/1f9bnps0v2NnGovbBSu4ltPYCZEcDKmih/view?usp=drivesdk","Dr. Sathish Mittapalli-Pharmaceutical Organic Chemistry")</f>
        <v xml:space="preserve">Dr. Sathish Mittapalli-Pharmaceutical Organic Chemistry</v>
      </c>
      <c r="I164" s="122" t="s">
        <v>852</v>
      </c>
    </row>
    <row r="165" ht="12.75">
      <c r="A165" s="114" t="s">
        <v>846</v>
      </c>
      <c r="B165" s="115" t="s">
        <v>858</v>
      </c>
      <c r="C165" s="123" t="s">
        <v>859</v>
      </c>
      <c r="D165" s="117" t="s">
        <v>860</v>
      </c>
      <c r="E165" s="118">
        <v>46059</v>
      </c>
      <c r="F165" s="119" t="s">
        <v>861</v>
      </c>
      <c r="G165" s="120" t="s">
        <v>862</v>
      </c>
      <c r="H165" s="121" t="str">
        <f>HYPERLINK("https://drive.google.com/file/d/1xaP73cUl_c7K6uEGh32xRmWQdWqbSyVE/view?usp=drivesdk","Dr. Ritesh Sinha-Pathophysiology")</f>
        <v xml:space="preserve">Dr. Ritesh Sinha-Pathophysiology</v>
      </c>
      <c r="I165" s="122" t="s">
        <v>852</v>
      </c>
    </row>
    <row r="166" ht="12.75">
      <c r="A166" s="114" t="s">
        <v>846</v>
      </c>
      <c r="B166" s="115" t="s">
        <v>863</v>
      </c>
      <c r="C166" s="123" t="s">
        <v>864</v>
      </c>
      <c r="D166" s="117" t="s">
        <v>865</v>
      </c>
      <c r="E166" s="118">
        <v>46059</v>
      </c>
      <c r="F166" s="119" t="s">
        <v>866</v>
      </c>
      <c r="G166" s="120" t="s">
        <v>867</v>
      </c>
      <c r="H166" s="12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66" s="122" t="s">
        <v>852</v>
      </c>
    </row>
    <row r="167" ht="12.75">
      <c r="A167" s="114" t="s">
        <v>846</v>
      </c>
      <c r="B167" s="115" t="s">
        <v>868</v>
      </c>
      <c r="C167" s="123" t="s">
        <v>869</v>
      </c>
      <c r="D167" s="117" t="s">
        <v>870</v>
      </c>
      <c r="E167" s="118">
        <v>46059</v>
      </c>
      <c r="F167" s="119" t="s">
        <v>871</v>
      </c>
      <c r="G167" s="120" t="s">
        <v>872</v>
      </c>
      <c r="H167" s="121" t="str">
        <f>HYPERLINK("https://drive.google.com/file/d/1RboTqtDHTxL25fIq0dBkeZ53lXKAzg6H/view?usp=drivesdk","Ms Sunita Kulariya-Pharmacology-I")</f>
        <v xml:space="preserve">Ms Sunita Kulariya-Pharmacology-I</v>
      </c>
      <c r="I167" s="122" t="s">
        <v>852</v>
      </c>
    </row>
    <row r="168" ht="12.75">
      <c r="A168" s="114" t="s">
        <v>846</v>
      </c>
      <c r="B168" s="115" t="s">
        <v>873</v>
      </c>
      <c r="C168" s="123" t="s">
        <v>874</v>
      </c>
      <c r="D168" s="117" t="s">
        <v>875</v>
      </c>
      <c r="E168" s="118">
        <v>46059</v>
      </c>
      <c r="F168" s="119" t="s">
        <v>876</v>
      </c>
      <c r="G168" s="120" t="s">
        <v>877</v>
      </c>
      <c r="H168" s="121" t="str">
        <f>HYPERLINK("https://drive.google.com/file/d/1hd6uGSDtyMV6mYAgH-KTCvUUjnQcJ9ri/view?usp=drivesdk","Dr. Yogendra Shrestha-Community Pharmacy")</f>
        <v xml:space="preserve">Dr. Yogendra Shrestha-Community Pharmacy</v>
      </c>
      <c r="I168" s="122" t="s">
        <v>878</v>
      </c>
    </row>
    <row r="169" ht="12.75">
      <c r="A169" s="114" t="s">
        <v>846</v>
      </c>
      <c r="B169" s="115" t="s">
        <v>879</v>
      </c>
      <c r="C169" s="123" t="s">
        <v>880</v>
      </c>
      <c r="D169" s="117" t="s">
        <v>881</v>
      </c>
      <c r="E169" s="118">
        <v>46059</v>
      </c>
      <c r="F169" s="119" t="s">
        <v>882</v>
      </c>
      <c r="G169" s="120" t="s">
        <v>883</v>
      </c>
      <c r="H169" s="121" t="str">
        <f>HYPERLINK("https://drive.google.com/file/d/1r6Xuo3r-HhKnnP5A4FJoXTmV03EFYrfv/view?usp=drivesdk","Dr. Tarun Tank-Pharmacotherapeutics-I")</f>
        <v xml:space="preserve">Dr. Tarun Tank-Pharmacotherapeutics-I</v>
      </c>
      <c r="I169" s="122" t="s">
        <v>878</v>
      </c>
    </row>
    <row r="170" ht="12.75">
      <c r="A170" s="114" t="s">
        <v>846</v>
      </c>
      <c r="B170" s="115" t="s">
        <v>884</v>
      </c>
      <c r="C170" s="123" t="s">
        <v>885</v>
      </c>
      <c r="D170" s="117" t="s">
        <v>886</v>
      </c>
      <c r="E170" s="118">
        <v>46059</v>
      </c>
      <c r="F170" s="119" t="s">
        <v>887</v>
      </c>
      <c r="G170" s="120" t="s">
        <v>888</v>
      </c>
      <c r="H170" s="121" t="str">
        <f>HYPERLINK("https://drive.google.com/file/d/1qQKuiv8OGqLYCgg85CfkrEBdwESS-a3q/view?usp=drivesdk","Ms Minal Salunkhe-Pharmaceutical Analysis")</f>
        <v xml:space="preserve">Ms Minal Salunkhe-Pharmaceutical Analysis</v>
      </c>
      <c r="I170" s="122" t="s">
        <v>878</v>
      </c>
    </row>
    <row r="171" ht="12.75">
      <c r="A171" s="114" t="s">
        <v>846</v>
      </c>
      <c r="B171" s="115" t="s">
        <v>889</v>
      </c>
      <c r="C171" s="123" t="s">
        <v>890</v>
      </c>
      <c r="D171" s="117" t="s">
        <v>891</v>
      </c>
      <c r="E171" s="118">
        <v>46059</v>
      </c>
      <c r="F171" s="119" t="s">
        <v>892</v>
      </c>
      <c r="G171" s="120" t="s">
        <v>893</v>
      </c>
      <c r="H171" s="121" t="str">
        <f>HYPERLINK("https://drive.google.com/file/d/1eqACz7Tn6SRm8CYBNq2VHaQdGABDC_gS/view?usp=drivesdk","Dr. Foram Patel-Pharmacotherapeutics-II")</f>
        <v xml:space="preserve">Dr. Foram Patel-Pharmacotherapeutics-II</v>
      </c>
      <c r="I171" s="122" t="s">
        <v>878</v>
      </c>
    </row>
    <row r="172" ht="12.75">
      <c r="A172" s="114" t="s">
        <v>846</v>
      </c>
      <c r="B172" s="115" t="s">
        <v>894</v>
      </c>
      <c r="C172" s="123" t="s">
        <v>895</v>
      </c>
      <c r="D172" s="117" t="s">
        <v>896</v>
      </c>
      <c r="E172" s="118">
        <v>46059</v>
      </c>
      <c r="F172" s="119" t="s">
        <v>897</v>
      </c>
      <c r="G172" s="120" t="s">
        <v>898</v>
      </c>
      <c r="H172" s="121" t="str">
        <f>HYPERLINK("https://drive.google.com/file/d/1IMLW_rIbfSacBDPA_rfrJMi0y11hQIef/view?usp=drivesdk","Ms. Nidhi Raichura-Medicinal Chemistry")</f>
        <v xml:space="preserve">Ms. Nidhi Raichura-Medicinal Chemistry</v>
      </c>
      <c r="I172" s="122" t="s">
        <v>878</v>
      </c>
    </row>
    <row r="173" ht="12.75">
      <c r="A173" s="114" t="s">
        <v>846</v>
      </c>
      <c r="B173" s="115" t="s">
        <v>899</v>
      </c>
      <c r="C173" s="123" t="s">
        <v>900</v>
      </c>
      <c r="D173" s="117" t="s">
        <v>901</v>
      </c>
      <c r="E173" s="118">
        <v>46059</v>
      </c>
      <c r="F173" s="119" t="s">
        <v>902</v>
      </c>
      <c r="G173" s="120" t="s">
        <v>903</v>
      </c>
      <c r="H173" s="121" t="str">
        <f>HYPERLINK("https://drive.google.com/file/d/1SGVv5H3em0JOXPW2CrEcYycaOeAmJfzB/view?usp=drivesdk","Dr. Kajal Patel-Hospital Pharmacy")</f>
        <v xml:space="preserve">Dr. Kajal Patel-Hospital Pharmacy</v>
      </c>
      <c r="I173" s="122" t="s">
        <v>878</v>
      </c>
    </row>
    <row r="174" ht="12.75">
      <c r="A174" s="114" t="s">
        <v>846</v>
      </c>
      <c r="B174" s="115" t="s">
        <v>904</v>
      </c>
      <c r="C174" s="123" t="s">
        <v>905</v>
      </c>
      <c r="D174" s="117" t="s">
        <v>906</v>
      </c>
      <c r="E174" s="118">
        <v>46059</v>
      </c>
      <c r="F174" s="119" t="s">
        <v>907</v>
      </c>
      <c r="G174" s="120" t="s">
        <v>908</v>
      </c>
      <c r="H174" s="121" t="str">
        <f>HYPERLINK("https://drive.google.com/file/d/1u5EtHaOxTzcTTeInmYhoIh1D6gkI7kcu/view?usp=drivesdk","Dr. Mansi Mistry-Clinical Pharmacy")</f>
        <v xml:space="preserve">Dr. Mansi Mistry-Clinical Pharmacy</v>
      </c>
      <c r="I174" s="122" t="s">
        <v>909</v>
      </c>
    </row>
    <row r="175" ht="12.75">
      <c r="A175" s="114" t="s">
        <v>846</v>
      </c>
      <c r="B175" s="115" t="s">
        <v>910</v>
      </c>
      <c r="C175" s="123" t="s">
        <v>911</v>
      </c>
      <c r="D175" s="117" t="s">
        <v>912</v>
      </c>
      <c r="E175" s="118">
        <v>46059</v>
      </c>
      <c r="F175" s="119" t="s">
        <v>913</v>
      </c>
      <c r="G175" s="120" t="s">
        <v>914</v>
      </c>
      <c r="H175" s="121" t="str">
        <f>HYPERLINK("https://drive.google.com/file/d/1TWDWRdaeUh9n2dHWhH-iFv-jN0hUyHj3/view?usp=drivesdk","Ms. Dulari Shah-Clinical Toxicology")</f>
        <v xml:space="preserve">Ms. Dulari Shah-Clinical Toxicology</v>
      </c>
      <c r="I175" s="122" t="s">
        <v>909</v>
      </c>
    </row>
    <row r="176" ht="12.75">
      <c r="A176" s="114" t="s">
        <v>846</v>
      </c>
      <c r="B176" s="115" t="s">
        <v>915</v>
      </c>
      <c r="C176" s="123" t="s">
        <v>916</v>
      </c>
      <c r="D176" s="117" t="s">
        <v>917</v>
      </c>
      <c r="E176" s="118">
        <v>46059</v>
      </c>
      <c r="F176" s="119" t="s">
        <v>918</v>
      </c>
      <c r="G176" s="120" t="s">
        <v>919</v>
      </c>
      <c r="H176" s="12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76" s="122" t="s">
        <v>909</v>
      </c>
    </row>
    <row r="177" ht="12.75">
      <c r="A177" s="114" t="s">
        <v>846</v>
      </c>
      <c r="B177" s="115" t="s">
        <v>920</v>
      </c>
      <c r="C177" s="124" t="s">
        <v>921</v>
      </c>
      <c r="D177" s="117" t="s">
        <v>922</v>
      </c>
      <c r="E177" s="118">
        <v>46059</v>
      </c>
      <c r="F177" s="119" t="s">
        <v>923</v>
      </c>
      <c r="G177" s="120" t="s">
        <v>924</v>
      </c>
      <c r="H177" s="121" t="str">
        <f>HYPERLINK("https://drive.google.com/file/d/10PRVg2zNLsjuga83pzbkAgC2Znu1tvxS/view?usp=drivesdk","Ms. Devshree Parmar-Pharmacology–Theory")</f>
        <v xml:space="preserve">Ms. Devshree Parmar-Pharmacology–Theory</v>
      </c>
      <c r="I177" s="122" t="s">
        <v>909</v>
      </c>
    </row>
    <row r="178" ht="12.75">
      <c r="A178" s="114" t="s">
        <v>846</v>
      </c>
      <c r="B178" s="115" t="s">
        <v>925</v>
      </c>
      <c r="C178" s="124" t="s">
        <v>926</v>
      </c>
      <c r="D178" s="117" t="s">
        <v>927</v>
      </c>
      <c r="E178" s="118">
        <v>46059</v>
      </c>
      <c r="F178" s="119" t="s">
        <v>928</v>
      </c>
      <c r="G178" s="120" t="s">
        <v>929</v>
      </c>
      <c r="H178" s="121" t="str">
        <f>HYPERLINK("https://drive.google.com/file/d/18x5dP7kdnWbDENuDSn-Wiy_HeYwvamfA/view?usp=drivesdk","Dr. Vrundaben Shah-Community Pharmacy &amp; Management – Theory")</f>
        <v xml:space="preserve">Dr. Vrundaben Shah-Community Pharmacy &amp; Management – Theory</v>
      </c>
      <c r="I178" s="122" t="s">
        <v>909</v>
      </c>
    </row>
    <row r="179" ht="12.75">
      <c r="A179" s="114" t="s">
        <v>846</v>
      </c>
      <c r="B179" s="115" t="s">
        <v>930</v>
      </c>
      <c r="C179" s="124" t="s">
        <v>931</v>
      </c>
      <c r="D179" s="117" t="s">
        <v>932</v>
      </c>
      <c r="E179" s="118">
        <v>46059</v>
      </c>
      <c r="F179" s="119" t="s">
        <v>933</v>
      </c>
      <c r="G179" s="120" t="s">
        <v>934</v>
      </c>
      <c r="H179" s="121" t="str">
        <f>HYPERLINK("https://drive.google.com/file/d/14rn_5E34RXR3GOonyqnX8rjoadgkpUN9/view?usp=drivesdk","Ms. Rasana Yadav-Pharmacotherapeutics – Theory")</f>
        <v xml:space="preserve">Ms. Rasana Yadav-Pharmacotherapeutics – Theory</v>
      </c>
      <c r="I179" s="122" t="s">
        <v>909</v>
      </c>
    </row>
    <row r="180" ht="12.75">
      <c r="A180" s="114" t="s">
        <v>846</v>
      </c>
      <c r="B180" s="116" t="s">
        <v>935</v>
      </c>
      <c r="C180" s="124" t="s">
        <v>936</v>
      </c>
      <c r="D180" s="125" t="s">
        <v>937</v>
      </c>
      <c r="E180" s="126">
        <v>46059</v>
      </c>
      <c r="F180" s="119" t="s">
        <v>938</v>
      </c>
      <c r="G180" s="120" t="s">
        <v>939</v>
      </c>
      <c r="H180" s="121" t="str">
        <f>HYPERLINK("https://drive.google.com/file/d/13zp7lVDqChlg--W8QHtqwTuLPjl0nHol/view?usp=drivesdk","Ms. Srushti Shah-Hospital &amp; Clinical Pharmacy – Theory")</f>
        <v xml:space="preserve">Ms. Srushti Shah-Hospital &amp; Clinical Pharmacy – Theory</v>
      </c>
      <c r="I180" s="122" t="s">
        <v>940</v>
      </c>
    </row>
    <row r="181" ht="12.75">
      <c r="A181" s="29" t="s">
        <v>941</v>
      </c>
      <c r="B181" s="127" t="s">
        <v>942</v>
      </c>
      <c r="C181" s="128" t="s">
        <v>943</v>
      </c>
      <c r="D181" s="129" t="s">
        <v>11</v>
      </c>
      <c r="E181" s="130">
        <v>46055</v>
      </c>
      <c r="F181" s="131" t="s">
        <v>944</v>
      </c>
      <c r="G181" s="132" t="s">
        <v>945</v>
      </c>
      <c r="H181" s="133" t="str">
        <f>HYPERLINK("https://drive.google.com/file/d/1Vnf_Gd689fVXahICarZhZVcdqOYwxszn/view?usp=drivesdk","Mr. Bhavik-Communication Skills")</f>
        <v xml:space="preserve">Mr. Bhavik-Communication Skills</v>
      </c>
      <c r="I181" s="134" t="s">
        <v>946</v>
      </c>
    </row>
    <row r="182" ht="12.75">
      <c r="A182" s="29" t="s">
        <v>941</v>
      </c>
      <c r="B182" s="127" t="s">
        <v>947</v>
      </c>
      <c r="C182" s="128" t="s">
        <v>948</v>
      </c>
      <c r="D182" s="129" t="s">
        <v>949</v>
      </c>
      <c r="E182" s="130">
        <v>46055</v>
      </c>
      <c r="F182" s="131" t="s">
        <v>950</v>
      </c>
      <c r="G182" s="132" t="s">
        <v>951</v>
      </c>
      <c r="H182" s="133" t="str">
        <f>HYPERLINK("https://drive.google.com/file/d/1rWGveXfXcSoazhYBcIGH5rM3jY5J1i_3/view?usp=drivesdk","Dr. Sunil-Farming based livelihood systems")</f>
        <v xml:space="preserve">Dr. Sunil-Farming based livelihood systems</v>
      </c>
      <c r="I182" s="134" t="s">
        <v>946</v>
      </c>
    </row>
    <row r="183" ht="12.75">
      <c r="A183" s="29" t="s">
        <v>941</v>
      </c>
      <c r="B183" s="127" t="s">
        <v>952</v>
      </c>
      <c r="C183" s="128" t="s">
        <v>953</v>
      </c>
      <c r="D183" s="129" t="s">
        <v>954</v>
      </c>
      <c r="E183" s="130">
        <v>46055</v>
      </c>
      <c r="F183" s="131" t="s">
        <v>955</v>
      </c>
      <c r="G183" s="132" t="s">
        <v>956</v>
      </c>
      <c r="H183" s="133" t="str">
        <f>HYPERLINK("https://drive.google.com/file/d/1n0IGABF2qko83ysB_gJOyDsNmc0bVinP/view?usp=drivesdk","Dr. Rutul-Fundamentals of Agronomy")</f>
        <v xml:space="preserve">Dr. Rutul-Fundamentals of Agronomy</v>
      </c>
      <c r="I183" s="134" t="s">
        <v>946</v>
      </c>
    </row>
    <row r="184" ht="12.75">
      <c r="A184" s="29" t="s">
        <v>941</v>
      </c>
      <c r="B184" s="127" t="s">
        <v>957</v>
      </c>
      <c r="C184" s="128" t="s">
        <v>958</v>
      </c>
      <c r="D184" s="129" t="s">
        <v>959</v>
      </c>
      <c r="E184" s="130">
        <v>46055</v>
      </c>
      <c r="F184" s="131" t="s">
        <v>960</v>
      </c>
      <c r="G184" s="132" t="s">
        <v>961</v>
      </c>
      <c r="H184" s="133" t="str">
        <f>HYPERLINK("https://drive.google.com/file/d/1LArfLOeCmHb5nh78KJYMNgiAhRkApOYP/view?usp=drivesdk","Dr. Ronak-Fundamentals of Horticulture")</f>
        <v xml:space="preserve">Dr. Ronak-Fundamentals of Horticulture</v>
      </c>
      <c r="I184" s="134" t="s">
        <v>946</v>
      </c>
    </row>
    <row r="185" ht="12.75">
      <c r="A185" s="29" t="s">
        <v>941</v>
      </c>
      <c r="B185" s="127" t="s">
        <v>962</v>
      </c>
      <c r="C185" s="128" t="s">
        <v>963</v>
      </c>
      <c r="D185" s="129" t="s">
        <v>964</v>
      </c>
      <c r="E185" s="130">
        <v>46055</v>
      </c>
      <c r="F185" s="131" t="s">
        <v>965</v>
      </c>
      <c r="G185" s="132" t="s">
        <v>966</v>
      </c>
      <c r="H185" s="133" t="str">
        <f>HYPERLINK("https://drive.google.com/file/d/1sOcYXh44s39vzXtjEhd1TCpvstgmjJ8X/view?usp=drivesdk","Dr. Mayur-Fundamentals of Nematology")</f>
        <v xml:space="preserve">Dr. Mayur-Fundamentals of Nematology</v>
      </c>
      <c r="I185" s="134" t="s">
        <v>946</v>
      </c>
    </row>
    <row r="186" ht="12.75">
      <c r="A186" s="29" t="s">
        <v>941</v>
      </c>
      <c r="B186" s="127" t="s">
        <v>967</v>
      </c>
      <c r="C186" s="128" t="s">
        <v>968</v>
      </c>
      <c r="D186" s="129" t="s">
        <v>969</v>
      </c>
      <c r="E186" s="130">
        <v>46055</v>
      </c>
      <c r="F186" s="131" t="s">
        <v>970</v>
      </c>
      <c r="G186" s="132" t="s">
        <v>971</v>
      </c>
      <c r="H186" s="133" t="str">
        <f>HYPERLINK("https://drive.google.com/file/d/1LeSZpc1l-jD57jCqonYVUJkeAJM9F4r-/view?usp=drivesdk","Mr.Dixit Mistry-Farm Machinery and Power")</f>
        <v xml:space="preserve">Mr.Dixit Mistry-Farm Machinery and Power</v>
      </c>
      <c r="I186" s="134" t="s">
        <v>972</v>
      </c>
    </row>
    <row r="187" ht="12.75">
      <c r="A187" s="29" t="s">
        <v>941</v>
      </c>
      <c r="B187" s="127" t="s">
        <v>947</v>
      </c>
      <c r="C187" s="128" t="s">
        <v>973</v>
      </c>
      <c r="D187" s="129" t="s">
        <v>974</v>
      </c>
      <c r="E187" s="130">
        <v>46055</v>
      </c>
      <c r="F187" s="131" t="s">
        <v>975</v>
      </c>
      <c r="G187" s="132" t="s">
        <v>976</v>
      </c>
      <c r="H187" s="133" t="str">
        <f>HYPERLINK("https://drive.google.com/file/d/1GTO1aw8IcrPVFnfGbrhbq2SYG7nxfiOw/view?usp=drivesdk","Dr. Sunil-Water Management")</f>
        <v xml:space="preserve">Dr. Sunil-Water Management</v>
      </c>
      <c r="I187" s="134" t="s">
        <v>972</v>
      </c>
    </row>
    <row r="188" ht="12.75">
      <c r="A188" s="29" t="s">
        <v>941</v>
      </c>
      <c r="B188" s="127" t="s">
        <v>977</v>
      </c>
      <c r="C188" s="128" t="s">
        <v>978</v>
      </c>
      <c r="D188" s="129" t="s">
        <v>979</v>
      </c>
      <c r="E188" s="130">
        <v>46055</v>
      </c>
      <c r="F188" s="131" t="s">
        <v>980</v>
      </c>
      <c r="G188" s="132" t="s">
        <v>981</v>
      </c>
      <c r="H188" s="133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88" s="134" t="s">
        <v>972</v>
      </c>
    </row>
    <row r="189" ht="12.75">
      <c r="A189" s="29" t="s">
        <v>941</v>
      </c>
      <c r="B189" s="127" t="s">
        <v>982</v>
      </c>
      <c r="C189" s="128" t="s">
        <v>983</v>
      </c>
      <c r="D189" s="129" t="s">
        <v>984</v>
      </c>
      <c r="E189" s="130">
        <v>46055</v>
      </c>
      <c r="F189" s="131" t="s">
        <v>985</v>
      </c>
      <c r="G189" s="132" t="s">
        <v>986</v>
      </c>
      <c r="H189" s="133" t="str">
        <f>HYPERLINK("https://drive.google.com/file/d/14KYbSp5deUFQaeforHKVlKUiYVh3sfQY/view?usp=drivesdk","Dr. Apexa-Weed Management")</f>
        <v xml:space="preserve">Dr. Apexa-Weed Management</v>
      </c>
      <c r="I189" s="134" t="s">
        <v>972</v>
      </c>
    </row>
    <row r="190" ht="12.75">
      <c r="A190" s="29" t="s">
        <v>941</v>
      </c>
      <c r="B190" s="127" t="s">
        <v>987</v>
      </c>
      <c r="C190" s="128" t="s">
        <v>988</v>
      </c>
      <c r="D190" s="129" t="s">
        <v>989</v>
      </c>
      <c r="E190" s="130">
        <v>46055</v>
      </c>
      <c r="F190" s="131" t="s">
        <v>990</v>
      </c>
      <c r="G190" s="132" t="s">
        <v>991</v>
      </c>
      <c r="H190" s="133" t="str">
        <f>HYPERLINK("https://drive.google.com/file/d/1zMiVLBtDcV13gDI3bquTeXW2YSC1thrT/view?usp=drivesdk","Mr. Tariq-Fundamentals of Agri Biotechnology")</f>
        <v xml:space="preserve">Mr. Tariq-Fundamentals of Agri Biotechnology</v>
      </c>
      <c r="I190" s="134" t="s">
        <v>972</v>
      </c>
    </row>
    <row r="191" ht="12.75">
      <c r="A191" s="29" t="s">
        <v>941</v>
      </c>
      <c r="B191" s="127" t="s">
        <v>992</v>
      </c>
      <c r="C191" s="135" t="s">
        <v>993</v>
      </c>
      <c r="D191" s="136" t="s">
        <v>994</v>
      </c>
      <c r="E191" s="137">
        <v>46055</v>
      </c>
      <c r="F191" s="131" t="s">
        <v>995</v>
      </c>
      <c r="G191" s="132" t="s">
        <v>996</v>
      </c>
      <c r="H191" s="133" t="str">
        <f>HYPERLINK("https://drive.google.com/file/d/1P-X0-kHiBQhQ-rPJ_Wpd_fqxy0BpN-c5/view?usp=drivesdk","Dr. Saleha-Essentials of Plant Biochemistry")</f>
        <v xml:space="preserve">Dr. Saleha-Essentials of Plant Biochemistry</v>
      </c>
      <c r="I191" s="134" t="s">
        <v>972</v>
      </c>
    </row>
    <row r="192" ht="12.75">
      <c r="A192" s="29" t="s">
        <v>997</v>
      </c>
      <c r="B192" s="138" t="s">
        <v>998</v>
      </c>
      <c r="C192" s="139" t="s">
        <v>999</v>
      </c>
      <c r="D192" s="140" t="s">
        <v>1000</v>
      </c>
      <c r="E192" s="141">
        <v>46119</v>
      </c>
      <c r="F192" s="142" t="s">
        <v>1001</v>
      </c>
      <c r="G192" s="143" t="s">
        <v>1002</v>
      </c>
      <c r="H192" s="144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92" s="145" t="s">
        <v>1003</v>
      </c>
    </row>
    <row r="193" ht="12.75">
      <c r="A193" s="29" t="s">
        <v>997</v>
      </c>
      <c r="B193" s="138" t="s">
        <v>1004</v>
      </c>
      <c r="C193" s="139" t="s">
        <v>1005</v>
      </c>
      <c r="D193" s="140" t="s">
        <v>1006</v>
      </c>
      <c r="E193" s="141">
        <v>46044</v>
      </c>
      <c r="F193" s="142" t="s">
        <v>1007</v>
      </c>
      <c r="G193" s="143" t="s">
        <v>1008</v>
      </c>
      <c r="H193" s="144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93" s="145" t="s">
        <v>1003</v>
      </c>
    </row>
    <row r="194" ht="12.75">
      <c r="A194" s="29" t="s">
        <v>997</v>
      </c>
      <c r="B194" s="138" t="s">
        <v>1009</v>
      </c>
      <c r="C194" s="139" t="s">
        <v>1010</v>
      </c>
      <c r="D194" s="140" t="s">
        <v>1011</v>
      </c>
      <c r="E194" s="141">
        <v>46044</v>
      </c>
      <c r="F194" s="142" t="s">
        <v>1012</v>
      </c>
      <c r="G194" s="143" t="s">
        <v>1013</v>
      </c>
      <c r="H194" s="144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94" s="145" t="s">
        <v>1003</v>
      </c>
    </row>
    <row r="195" ht="12.75">
      <c r="A195" s="29" t="s">
        <v>997</v>
      </c>
      <c r="B195" s="138" t="s">
        <v>1014</v>
      </c>
      <c r="C195" s="139" t="s">
        <v>1015</v>
      </c>
      <c r="D195" s="140" t="s">
        <v>1016</v>
      </c>
      <c r="E195" s="141">
        <v>46044</v>
      </c>
      <c r="F195" s="142" t="s">
        <v>1017</v>
      </c>
      <c r="G195" s="143" t="s">
        <v>1018</v>
      </c>
      <c r="H195" s="144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95" s="145" t="s">
        <v>1003</v>
      </c>
    </row>
    <row r="196" ht="12.75">
      <c r="A196" s="29" t="s">
        <v>997</v>
      </c>
      <c r="B196" s="138" t="s">
        <v>1019</v>
      </c>
      <c r="C196" s="139" t="s">
        <v>1020</v>
      </c>
      <c r="D196" s="140" t="s">
        <v>1021</v>
      </c>
      <c r="E196" s="141">
        <v>46044</v>
      </c>
      <c r="F196" s="142" t="s">
        <v>1022</v>
      </c>
      <c r="G196" s="143" t="s">
        <v>1023</v>
      </c>
      <c r="H196" s="144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96" s="145" t="s">
        <v>1003</v>
      </c>
    </row>
    <row r="197" ht="12.75">
      <c r="A197" s="29" t="s">
        <v>997</v>
      </c>
      <c r="B197" s="138" t="s">
        <v>1004</v>
      </c>
      <c r="C197" s="139" t="s">
        <v>1024</v>
      </c>
      <c r="D197" s="140" t="s">
        <v>1025</v>
      </c>
      <c r="E197" s="141">
        <v>46044</v>
      </c>
      <c r="F197" s="142" t="s">
        <v>1026</v>
      </c>
      <c r="G197" s="143" t="s">
        <v>1027</v>
      </c>
      <c r="H197" s="144" t="str">
        <f>HYPERLINK("https://drive.google.com/file/d/1GBMWk_-sP33Nsu03rXBCjlVqeciUQtb-/view?usp=drivesdk","Dr. Debesh-Advancement in Forensic Science")</f>
        <v xml:space="preserve">Dr. Debesh-Advancement in Forensic Science</v>
      </c>
      <c r="I197" s="145" t="s">
        <v>1028</v>
      </c>
    </row>
    <row r="198" ht="12.75">
      <c r="A198" s="29" t="s">
        <v>997</v>
      </c>
      <c r="B198" s="138" t="s">
        <v>1029</v>
      </c>
      <c r="C198" s="146" t="s">
        <v>1030</v>
      </c>
      <c r="D198" s="140" t="s">
        <v>1031</v>
      </c>
      <c r="E198" s="141">
        <v>46044</v>
      </c>
      <c r="F198" s="142" t="s">
        <v>1032</v>
      </c>
      <c r="G198" s="143" t="s">
        <v>1033</v>
      </c>
      <c r="H198" s="144" t="str">
        <f>HYPERLINK("https://drive.google.com/file/d/1LdMgNY7PAaguHSQ1sUetDXc569cCpRSd/view?usp=drivesdk","Ms. Smita das-Forensic Anthropology ")</f>
        <v xml:space="preserve">Ms. Smita das-Forensic Anthropology </v>
      </c>
      <c r="I198" s="145" t="s">
        <v>1028</v>
      </c>
    </row>
    <row r="199" ht="12.75">
      <c r="A199" s="29" t="s">
        <v>997</v>
      </c>
      <c r="B199" s="138" t="s">
        <v>1034</v>
      </c>
      <c r="C199" s="146" t="s">
        <v>1035</v>
      </c>
      <c r="D199" s="140" t="s">
        <v>1036</v>
      </c>
      <c r="E199" s="141">
        <v>46044</v>
      </c>
      <c r="F199" s="142" t="s">
        <v>1037</v>
      </c>
      <c r="G199" s="143" t="s">
        <v>1038</v>
      </c>
      <c r="H199" s="144" t="str">
        <f>HYPERLINK("https://drive.google.com/file/d/1fU34W5S8POAFrtdM_bakKLLxy9ql4ZOF/view?usp=drivesdk","Mr. Karan -Digital and Cyber Forensic Science ")</f>
        <v xml:space="preserve">Mr. Karan -Digital and Cyber Forensic Science </v>
      </c>
      <c r="I199" s="145" t="s">
        <v>1028</v>
      </c>
    </row>
    <row r="200" ht="12.75">
      <c r="A200" s="29" t="s">
        <v>997</v>
      </c>
      <c r="B200" s="138" t="s">
        <v>1039</v>
      </c>
      <c r="C200" s="146" t="s">
        <v>1040</v>
      </c>
      <c r="D200" s="147" t="s">
        <v>1041</v>
      </c>
      <c r="E200" s="148">
        <v>46119</v>
      </c>
      <c r="F200" s="142" t="s">
        <v>1042</v>
      </c>
      <c r="G200" s="143" t="s">
        <v>1043</v>
      </c>
      <c r="H200" s="144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200" s="145" t="s">
        <v>1028</v>
      </c>
    </row>
    <row r="201" ht="12.75">
      <c r="A201" s="29" t="s">
        <v>997</v>
      </c>
      <c r="B201" s="149" t="s">
        <v>1004</v>
      </c>
      <c r="C201" s="150" t="s">
        <v>1044</v>
      </c>
      <c r="D201" s="151" t="s">
        <v>1045</v>
      </c>
      <c r="E201" s="152">
        <v>46044</v>
      </c>
      <c r="F201" s="131" t="s">
        <v>1046</v>
      </c>
      <c r="G201" s="132" t="s">
        <v>1047</v>
      </c>
      <c r="H201" s="133" t="str">
        <f>HYPERLINK("https://drive.google.com/file/d/1nM7m0r4_3LIkNwu-8klnGEafQAQDQx3N/view?usp=drivesdk","Dr. Debesh-Basic of Statistics ")</f>
        <v xml:space="preserve">Dr. Debesh-Basic of Statistics </v>
      </c>
      <c r="I201" s="134" t="s">
        <v>1028</v>
      </c>
    </row>
    <row r="202" ht="12.75">
      <c r="A202" s="29" t="s">
        <v>997</v>
      </c>
      <c r="B202" s="138" t="s">
        <v>1048</v>
      </c>
      <c r="C202" s="146" t="s">
        <v>1049</v>
      </c>
      <c r="D202" s="140" t="s">
        <v>1050</v>
      </c>
      <c r="E202" s="141">
        <v>46044</v>
      </c>
      <c r="F202" s="142" t="s">
        <v>1051</v>
      </c>
      <c r="G202" s="143" t="s">
        <v>1052</v>
      </c>
      <c r="H202" s="144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202" s="145" t="s">
        <v>1028</v>
      </c>
    </row>
    <row r="203" ht="12.75">
      <c r="A203" s="29" t="s">
        <v>997</v>
      </c>
      <c r="B203" s="138" t="s">
        <v>1053</v>
      </c>
      <c r="C203" s="146" t="s">
        <v>1054</v>
      </c>
      <c r="D203" s="140" t="s">
        <v>1055</v>
      </c>
      <c r="E203" s="141">
        <v>46044</v>
      </c>
      <c r="F203" s="142" t="s">
        <v>1056</v>
      </c>
      <c r="G203" s="143" t="s">
        <v>1057</v>
      </c>
      <c r="H203" s="144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203" s="145" t="s">
        <v>1058</v>
      </c>
    </row>
    <row r="204" ht="12.75">
      <c r="A204" s="29" t="s">
        <v>997</v>
      </c>
      <c r="B204" s="138" t="s">
        <v>1059</v>
      </c>
      <c r="C204" s="146" t="s">
        <v>1060</v>
      </c>
      <c r="D204" s="140" t="s">
        <v>1061</v>
      </c>
      <c r="E204" s="141">
        <v>46044</v>
      </c>
      <c r="F204" s="142" t="s">
        <v>1062</v>
      </c>
      <c r="G204" s="143" t="s">
        <v>1063</v>
      </c>
      <c r="H204" s="144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204" s="145" t="s">
        <v>1058</v>
      </c>
    </row>
    <row r="205" ht="12.75">
      <c r="A205" s="29" t="s">
        <v>997</v>
      </c>
      <c r="B205" s="138" t="s">
        <v>1059</v>
      </c>
      <c r="C205" s="146" t="s">
        <v>1064</v>
      </c>
      <c r="D205" s="140" t="s">
        <v>1065</v>
      </c>
      <c r="E205" s="141">
        <v>46044</v>
      </c>
      <c r="F205" s="142" t="s">
        <v>1066</v>
      </c>
      <c r="G205" s="143" t="s">
        <v>1067</v>
      </c>
      <c r="H205" s="144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205" s="145" t="s">
        <v>1058</v>
      </c>
    </row>
    <row r="206" ht="12.75">
      <c r="A206" s="29" t="s">
        <v>997</v>
      </c>
      <c r="B206" s="138" t="s">
        <v>1048</v>
      </c>
      <c r="C206" s="146" t="s">
        <v>1068</v>
      </c>
      <c r="D206" s="140" t="s">
        <v>1069</v>
      </c>
      <c r="E206" s="141">
        <v>46044</v>
      </c>
      <c r="F206" s="142" t="s">
        <v>1070</v>
      </c>
      <c r="G206" s="143" t="s">
        <v>1071</v>
      </c>
      <c r="H206" s="144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206" s="145" t="s">
        <v>1058</v>
      </c>
    </row>
    <row r="207" ht="12.75">
      <c r="A207" s="29" t="s">
        <v>997</v>
      </c>
      <c r="B207" s="138" t="s">
        <v>1019</v>
      </c>
      <c r="C207" s="146" t="s">
        <v>1072</v>
      </c>
      <c r="D207" s="140" t="s">
        <v>1073</v>
      </c>
      <c r="E207" s="141">
        <v>46044</v>
      </c>
      <c r="F207" s="142" t="s">
        <v>1074</v>
      </c>
      <c r="G207" s="143" t="s">
        <v>1075</v>
      </c>
      <c r="H207" s="144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207" s="145" t="s">
        <v>1058</v>
      </c>
    </row>
    <row r="208" ht="12.75">
      <c r="A208" s="29" t="s">
        <v>997</v>
      </c>
      <c r="B208" s="138" t="s">
        <v>1019</v>
      </c>
      <c r="C208" s="146" t="s">
        <v>1076</v>
      </c>
      <c r="D208" s="140" t="s">
        <v>1077</v>
      </c>
      <c r="E208" s="141">
        <v>46044</v>
      </c>
      <c r="F208" s="142" t="s">
        <v>1078</v>
      </c>
      <c r="G208" s="143" t="s">
        <v>1079</v>
      </c>
      <c r="H208" s="144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208" s="145" t="s">
        <v>1058</v>
      </c>
    </row>
    <row r="209" ht="12.75">
      <c r="A209" s="29" t="s">
        <v>997</v>
      </c>
      <c r="B209" s="138" t="s">
        <v>1034</v>
      </c>
      <c r="C209" s="146" t="s">
        <v>1080</v>
      </c>
      <c r="D209" s="140" t="s">
        <v>1081</v>
      </c>
      <c r="E209" s="141">
        <v>46044</v>
      </c>
      <c r="F209" s="142" t="s">
        <v>1082</v>
      </c>
      <c r="G209" s="143" t="s">
        <v>1083</v>
      </c>
      <c r="H209" s="144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209" s="145" t="s">
        <v>1084</v>
      </c>
    </row>
    <row r="210" ht="12.75">
      <c r="A210" s="29" t="s">
        <v>997</v>
      </c>
      <c r="B210" s="138" t="s">
        <v>1034</v>
      </c>
      <c r="C210" s="146" t="s">
        <v>1085</v>
      </c>
      <c r="D210" s="140" t="s">
        <v>1086</v>
      </c>
      <c r="E210" s="141">
        <v>46044</v>
      </c>
      <c r="F210" s="142" t="s">
        <v>1087</v>
      </c>
      <c r="G210" s="143" t="s">
        <v>1088</v>
      </c>
      <c r="H210" s="144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210" s="145" t="s">
        <v>1084</v>
      </c>
    </row>
    <row r="211" ht="12.75">
      <c r="A211" s="29" t="s">
        <v>997</v>
      </c>
      <c r="B211" s="138" t="s">
        <v>1089</v>
      </c>
      <c r="C211" s="139" t="s">
        <v>1090</v>
      </c>
      <c r="D211" s="140" t="s">
        <v>1091</v>
      </c>
      <c r="E211" s="141">
        <v>46006</v>
      </c>
      <c r="F211" s="142" t="s">
        <v>1092</v>
      </c>
      <c r="G211" s="143" t="s">
        <v>1093</v>
      </c>
      <c r="H211" s="144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211" s="145" t="s">
        <v>1084</v>
      </c>
    </row>
    <row r="212" ht="12.75">
      <c r="A212" s="29" t="s">
        <v>997</v>
      </c>
      <c r="B212" s="138" t="s">
        <v>1094</v>
      </c>
      <c r="C212" s="146" t="s">
        <v>1095</v>
      </c>
      <c r="D212" s="140" t="s">
        <v>1096</v>
      </c>
      <c r="E212" s="141">
        <v>46006</v>
      </c>
      <c r="F212" s="142" t="s">
        <v>1097</v>
      </c>
      <c r="G212" s="143" t="s">
        <v>1098</v>
      </c>
      <c r="H212" s="144" t="str">
        <f>HYPERLINK("https://drive.google.com/file/d/1dMf9fCdDO0jMie9YGcrltPpMI-1lHHVt/view?usp=drivesdk","Dr. Vivek Mishra-Petroleum and Coal Geology")</f>
        <v xml:space="preserve">Dr. Vivek Mishra-Petroleum and Coal Geology</v>
      </c>
      <c r="I212" s="145" t="s">
        <v>1084</v>
      </c>
    </row>
    <row r="213" ht="12.75">
      <c r="A213" s="29" t="s">
        <v>997</v>
      </c>
      <c r="B213" s="138" t="s">
        <v>1099</v>
      </c>
      <c r="C213" s="146" t="s">
        <v>1100</v>
      </c>
      <c r="D213" s="140" t="s">
        <v>1101</v>
      </c>
      <c r="E213" s="141">
        <v>46006</v>
      </c>
      <c r="F213" s="142" t="s">
        <v>1102</v>
      </c>
      <c r="G213" s="143" t="s">
        <v>1103</v>
      </c>
      <c r="H213" s="144" t="str">
        <f>HYPERLINK("https://drive.google.com/file/d/10NKv0ZdsE9EnuC1E1sGsfk7Wpa3ZwLz_/view?usp=drivesdk","Dr. Apurva Sharma-Solid Waste Management")</f>
        <v xml:space="preserve">Dr. Apurva Sharma-Solid Waste Management</v>
      </c>
      <c r="I213" s="145" t="s">
        <v>1084</v>
      </c>
    </row>
    <row r="214" ht="12.75">
      <c r="A214" s="29" t="s">
        <v>997</v>
      </c>
      <c r="B214" s="138" t="s">
        <v>1104</v>
      </c>
      <c r="C214" s="146" t="s">
        <v>1105</v>
      </c>
      <c r="D214" s="140" t="s">
        <v>1106</v>
      </c>
      <c r="E214" s="141">
        <v>46006</v>
      </c>
      <c r="F214" s="142" t="s">
        <v>1107</v>
      </c>
      <c r="G214" s="143" t="s">
        <v>1108</v>
      </c>
      <c r="H214" s="144" t="str">
        <f>HYPERLINK("https://drive.google.com/file/d/1WbO8bLQxFadmypBOHMC-nY-aReqc3pEY/view?usp=drivesdk","Ms. Malvika Gohil -Remote Sensing and GIS")</f>
        <v xml:space="preserve">Ms. Malvika Gohil -Remote Sensing and GIS</v>
      </c>
      <c r="I214" s="145" t="s">
        <v>1084</v>
      </c>
    </row>
    <row r="215" ht="12.75">
      <c r="A215" s="29" t="s">
        <v>997</v>
      </c>
      <c r="B215" s="138" t="s">
        <v>1109</v>
      </c>
      <c r="C215" s="146" t="s">
        <v>1110</v>
      </c>
      <c r="D215" s="140" t="s">
        <v>1111</v>
      </c>
      <c r="E215" s="141">
        <v>46006</v>
      </c>
      <c r="F215" s="142" t="s">
        <v>1112</v>
      </c>
      <c r="G215" s="143" t="s">
        <v>1113</v>
      </c>
      <c r="H215" s="144" t="str">
        <f>HYPERLINK("https://drive.google.com/file/d/1c_17CWdpYf4ZobB-aPQtcnfATZrkaWCW/view?usp=drivesdk","Dr. Parul Maurya-Disaster Management")</f>
        <v xml:space="preserve">Dr. Parul Maurya-Disaster Management</v>
      </c>
      <c r="I215" s="145" t="s">
        <v>1114</v>
      </c>
    </row>
    <row r="216" ht="12.75">
      <c r="A216" s="29" t="s">
        <v>997</v>
      </c>
      <c r="B216" s="138" t="s">
        <v>1115</v>
      </c>
      <c r="C216" s="146" t="s">
        <v>1116</v>
      </c>
      <c r="D216" s="140" t="s">
        <v>1117</v>
      </c>
      <c r="E216" s="141">
        <v>46006</v>
      </c>
      <c r="F216" s="142" t="s">
        <v>1118</v>
      </c>
      <c r="G216" s="153" t="s">
        <v>1119</v>
      </c>
      <c r="H216" s="144" t="str">
        <f>HYPERLINK("https://drive.google.com/file/d/18UfMjgzVQ0Qs5gyAlzsAK3z2GvM4MkpJ/view?usp=drivesdk","Dr Husain Shabbar-Paleontology")</f>
        <v xml:space="preserve">Dr Husain Shabbar-Paleontology</v>
      </c>
      <c r="I216" s="145" t="s">
        <v>1114</v>
      </c>
    </row>
    <row r="217" ht="12.75">
      <c r="A217" s="29" t="s">
        <v>997</v>
      </c>
      <c r="B217" s="138" t="s">
        <v>1120</v>
      </c>
      <c r="C217" s="146" t="s">
        <v>1121</v>
      </c>
      <c r="D217" s="140" t="s">
        <v>1122</v>
      </c>
      <c r="E217" s="141">
        <v>46006</v>
      </c>
      <c r="F217" s="142" t="s">
        <v>1123</v>
      </c>
      <c r="G217" s="143" t="s">
        <v>1124</v>
      </c>
      <c r="H217" s="144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217" s="145" t="s">
        <v>1114</v>
      </c>
    </row>
    <row r="218" ht="12.75">
      <c r="A218" s="29" t="s">
        <v>997</v>
      </c>
      <c r="B218" s="138" t="s">
        <v>1125</v>
      </c>
      <c r="C218" s="146" t="s">
        <v>1126</v>
      </c>
      <c r="D218" s="140" t="s">
        <v>1127</v>
      </c>
      <c r="E218" s="141">
        <v>46006</v>
      </c>
      <c r="F218" s="142" t="s">
        <v>1128</v>
      </c>
      <c r="G218" s="143" t="s">
        <v>1129</v>
      </c>
      <c r="H218" s="144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 </v>
      </c>
      <c r="I218" s="145" t="s">
        <v>1114</v>
      </c>
    </row>
    <row r="219" ht="12.75">
      <c r="A219" s="29" t="s">
        <v>997</v>
      </c>
      <c r="B219" s="138" t="s">
        <v>1130</v>
      </c>
      <c r="C219" s="146" t="s">
        <v>1131</v>
      </c>
      <c r="D219" s="140" t="s">
        <v>1132</v>
      </c>
      <c r="E219" s="141">
        <v>46006</v>
      </c>
      <c r="F219" s="142" t="s">
        <v>1133</v>
      </c>
      <c r="G219" s="143" t="s">
        <v>1134</v>
      </c>
      <c r="H219" s="144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219" s="145" t="s">
        <v>1114</v>
      </c>
    </row>
    <row r="220" ht="12.75">
      <c r="A220" s="29" t="s">
        <v>997</v>
      </c>
      <c r="B220" s="138" t="s">
        <v>1135</v>
      </c>
      <c r="C220" s="146" t="s">
        <v>1136</v>
      </c>
      <c r="D220" s="140" t="s">
        <v>1137</v>
      </c>
      <c r="E220" s="141">
        <v>46006</v>
      </c>
      <c r="F220" s="142" t="s">
        <v>1138</v>
      </c>
      <c r="G220" s="143" t="s">
        <v>1139</v>
      </c>
      <c r="H220" s="144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20" s="145" t="s">
        <v>1114</v>
      </c>
    </row>
    <row r="221" ht="12.75">
      <c r="A221" s="29" t="s">
        <v>997</v>
      </c>
      <c r="B221" s="138" t="s">
        <v>1140</v>
      </c>
      <c r="C221" s="146" t="s">
        <v>1141</v>
      </c>
      <c r="D221" s="140" t="s">
        <v>1142</v>
      </c>
      <c r="E221" s="141">
        <v>46063</v>
      </c>
      <c r="F221" s="142" t="s">
        <v>1143</v>
      </c>
      <c r="G221" s="143" t="s">
        <v>1144</v>
      </c>
      <c r="H221" s="144" t="str">
        <f>HYPERLINK("https://drive.google.com/file/d/1Tuj1RTJxA7guHuQ2QW5-ilLBSGm4kJPa/view?usp=drivesdk","Dr. Hiral Gaud-Cell Biology")</f>
        <v xml:space="preserve">Dr. Hiral Gaud-Cell Biology</v>
      </c>
      <c r="I221" s="145" t="s">
        <v>1145</v>
      </c>
    </row>
    <row r="222" ht="12.75">
      <c r="A222" s="29" t="s">
        <v>997</v>
      </c>
      <c r="B222" s="138" t="s">
        <v>1146</v>
      </c>
      <c r="C222" s="146" t="s">
        <v>1147</v>
      </c>
      <c r="D222" s="140" t="s">
        <v>1148</v>
      </c>
      <c r="E222" s="141">
        <v>46044</v>
      </c>
      <c r="F222" s="142" t="s">
        <v>1149</v>
      </c>
      <c r="G222" s="143" t="s">
        <v>1150</v>
      </c>
      <c r="H222" s="144" t="str">
        <f>HYPERLINK("https://drive.google.com/file/d/1aClCtfB6-xNEGA-7bSDxu3qN1nSnj5ha/view?usp=drivesdk","Dr. Manali Singh-Biomolecules")</f>
        <v xml:space="preserve">Dr. Manali Singh-Biomolecules</v>
      </c>
      <c r="I222" s="145" t="s">
        <v>1145</v>
      </c>
    </row>
    <row r="223" ht="12.75">
      <c r="A223" s="29" t="s">
        <v>997</v>
      </c>
      <c r="B223" s="138" t="s">
        <v>1151</v>
      </c>
      <c r="C223" s="146" t="s">
        <v>1152</v>
      </c>
      <c r="D223" s="140" t="s">
        <v>1153</v>
      </c>
      <c r="E223" s="141">
        <v>46044</v>
      </c>
      <c r="F223" s="142" t="s">
        <v>1154</v>
      </c>
      <c r="G223" s="143" t="s">
        <v>1155</v>
      </c>
      <c r="H223" s="144" t="str">
        <f>HYPERLINK("https://drive.google.com/file/d/10t9aQppntziwYhtcqXg8i5Zn_RZOA4aN/view?usp=drivesdk","Dr. Sarmita Jana-Molecular Biology")</f>
        <v xml:space="preserve">Dr. Sarmita Jana-Molecular Biology</v>
      </c>
      <c r="I223" s="145" t="s">
        <v>1145</v>
      </c>
    </row>
    <row r="224" ht="12.75">
      <c r="A224" s="29" t="s">
        <v>997</v>
      </c>
      <c r="B224" s="138" t="s">
        <v>1156</v>
      </c>
      <c r="C224" s="146" t="s">
        <v>1157</v>
      </c>
      <c r="D224" s="147" t="s">
        <v>1158</v>
      </c>
      <c r="E224" s="148">
        <v>46044</v>
      </c>
      <c r="F224" s="142" t="s">
        <v>1159</v>
      </c>
      <c r="G224" s="143" t="s">
        <v>1160</v>
      </c>
      <c r="H224" s="144" t="str">
        <f>HYPERLINK("https://drive.google.com/file/d/1HZPIjMFNqy1gPFYJaKDiadyF_Oqwwypd/view?usp=drivesdk","Mr. Prashant Patel-Biochemical Pathway")</f>
        <v xml:space="preserve">Mr. Prashant Patel-Biochemical Pathway</v>
      </c>
      <c r="I224" s="145" t="s">
        <v>1145</v>
      </c>
    </row>
    <row r="225" ht="12.75">
      <c r="A225" s="29" t="s">
        <v>997</v>
      </c>
      <c r="B225" s="149" t="s">
        <v>1161</v>
      </c>
      <c r="C225" s="150" t="s">
        <v>1162</v>
      </c>
      <c r="D225" s="151" t="s">
        <v>1163</v>
      </c>
      <c r="E225" s="152">
        <v>46044</v>
      </c>
      <c r="F225" s="131" t="s">
        <v>1164</v>
      </c>
      <c r="G225" s="132" t="s">
        <v>1165</v>
      </c>
      <c r="H225" s="133" t="str">
        <f>HYPERLINK("https://drive.google.com/file/d/1oeGeKSgS3Rj3ezxMi9DC9ZfxYgOGr0dj/view?usp=drivesdk","Prof. Gireesh Babu K-Bioinstrumentation ")</f>
        <v xml:space="preserve">Prof. Gireesh Babu K-Bioinstrumentation </v>
      </c>
      <c r="I225" s="134" t="s">
        <v>1145</v>
      </c>
    </row>
    <row r="226" ht="12.75">
      <c r="A226" s="29" t="s">
        <v>997</v>
      </c>
      <c r="B226" s="138" t="s">
        <v>1166</v>
      </c>
      <c r="C226" s="146" t="s">
        <v>1167</v>
      </c>
      <c r="D226" s="140" t="s">
        <v>1168</v>
      </c>
      <c r="E226" s="141">
        <v>46044</v>
      </c>
      <c r="F226" s="142" t="s">
        <v>1169</v>
      </c>
      <c r="G226" s="143" t="s">
        <v>1170</v>
      </c>
      <c r="H226" s="144" t="str">
        <f>HYPERLINK("https://drive.google.com/file/d/1hoIhHi8rPFD1HZe9lqBoRYt0-qiSQ9cY/view?usp=drivesdk","Dr. Vasundhara Raina-Principles of Genetics")</f>
        <v xml:space="preserve">Dr. Vasundhara Raina-Principles of Genetics</v>
      </c>
      <c r="I226" s="145" t="s">
        <v>1171</v>
      </c>
    </row>
    <row r="227" ht="12.75">
      <c r="A227" s="29" t="s">
        <v>997</v>
      </c>
      <c r="B227" s="154" t="s">
        <v>1172</v>
      </c>
      <c r="C227" s="146" t="s">
        <v>1173</v>
      </c>
      <c r="D227" s="140" t="s">
        <v>1174</v>
      </c>
      <c r="E227" s="141">
        <v>46044</v>
      </c>
      <c r="F227" s="142" t="s">
        <v>1175</v>
      </c>
      <c r="G227" s="143" t="s">
        <v>1176</v>
      </c>
      <c r="H227" s="144" t="str">
        <f>HYPERLINK("https://drive.google.com/file/d/1p2yGEdGdlxytgTx1c56mFE_F-Ufz6Eiz/view?usp=drivesdk","Dr. Pranjali Chole-Analytical tools and techniques  ")</f>
        <v xml:space="preserve">Dr. Pranjali Chole-Analytical tools and techniques  </v>
      </c>
      <c r="I227" s="145" t="s">
        <v>1171</v>
      </c>
    </row>
    <row r="228" ht="12.75">
      <c r="A228" s="29" t="s">
        <v>997</v>
      </c>
      <c r="B228" s="138" t="s">
        <v>1177</v>
      </c>
      <c r="C228" s="146" t="s">
        <v>1178</v>
      </c>
      <c r="D228" s="147" t="s">
        <v>1179</v>
      </c>
      <c r="E228" s="148">
        <v>46044</v>
      </c>
      <c r="F228" s="142" t="s">
        <v>1180</v>
      </c>
      <c r="G228" s="143" t="s">
        <v>1181</v>
      </c>
      <c r="H228" s="144" t="str">
        <f>HYPERLINK("https://drive.google.com/file/d/1Mz3L-R7GmHV7yFVbAJB2G251Y9aQmyUh/view?usp=drivesdk","Dr. Krishan Kumar-Molecular Cell Biology")</f>
        <v xml:space="preserve">Dr. Krishan Kumar-Molecular Cell Biology</v>
      </c>
      <c r="I228" s="145" t="s">
        <v>1171</v>
      </c>
    </row>
    <row r="229" ht="12.75">
      <c r="A229" s="29" t="s">
        <v>997</v>
      </c>
      <c r="B229" s="149" t="s">
        <v>1182</v>
      </c>
      <c r="C229" s="150" t="s">
        <v>509</v>
      </c>
      <c r="D229" s="151" t="s">
        <v>1183</v>
      </c>
      <c r="E229" s="152">
        <v>46044</v>
      </c>
      <c r="F229" s="131" t="s">
        <v>1184</v>
      </c>
      <c r="G229" s="132" t="s">
        <v>1185</v>
      </c>
      <c r="H229" s="133" t="str">
        <f>HYPERLINK("https://drive.google.com/file/d/1Wf9Ckjp2sLamyPuRwx0TO9USX31W_XUH/view?usp=drivesdk","Dr. Radhey Shyam Kaushal-Bioinformatics and Computational Biology")</f>
        <v xml:space="preserve">Dr. Radhey Shyam Kaushal-Bioinformatics and Computational Biology</v>
      </c>
      <c r="I229" s="134" t="s">
        <v>1171</v>
      </c>
    </row>
    <row r="230" ht="12.75">
      <c r="A230" s="29" t="s">
        <v>997</v>
      </c>
      <c r="B230" s="138" t="s">
        <v>1186</v>
      </c>
      <c r="C230" s="146" t="s">
        <v>1187</v>
      </c>
      <c r="D230" s="140" t="s">
        <v>1188</v>
      </c>
      <c r="E230" s="141">
        <v>46044</v>
      </c>
      <c r="F230" s="142" t="s">
        <v>1189</v>
      </c>
      <c r="G230" s="143" t="s">
        <v>1190</v>
      </c>
      <c r="H230" s="144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30" s="145" t="s">
        <v>1171</v>
      </c>
    </row>
    <row r="231" ht="12.75">
      <c r="A231" s="29" t="s">
        <v>997</v>
      </c>
      <c r="B231" s="155" t="s">
        <v>1191</v>
      </c>
      <c r="C231" s="146" t="s">
        <v>1192</v>
      </c>
      <c r="D231" s="140" t="s">
        <v>1193</v>
      </c>
      <c r="E231" s="141">
        <v>46044</v>
      </c>
      <c r="F231" s="142" t="s">
        <v>1194</v>
      </c>
      <c r="G231" s="143" t="s">
        <v>1195</v>
      </c>
      <c r="H231" s="144" t="str">
        <f>HYPERLINK("https://drive.google.com/file/d/1iplezs2c8Ay5MayLVMTprt5UGBbv9EZO/view?usp=drivesdk","Dr. Dhwani Upadhyay-Immunology")</f>
        <v xml:space="preserve">Dr. Dhwani Upadhyay-Immunology</v>
      </c>
      <c r="I231" s="145" t="s">
        <v>1171</v>
      </c>
    </row>
    <row r="232" ht="12.75">
      <c r="A232" s="29" t="s">
        <v>997</v>
      </c>
      <c r="B232" s="138" t="s">
        <v>1196</v>
      </c>
      <c r="C232" s="146" t="s">
        <v>1197</v>
      </c>
      <c r="D232" s="147" t="s">
        <v>1198</v>
      </c>
      <c r="E232" s="148">
        <v>46044</v>
      </c>
      <c r="F232" s="142" t="s">
        <v>1199</v>
      </c>
      <c r="G232" s="143" t="s">
        <v>1200</v>
      </c>
      <c r="H232" s="144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32" s="145" t="s">
        <v>1201</v>
      </c>
    </row>
    <row r="233" ht="12.75">
      <c r="A233" s="29" t="s">
        <v>997</v>
      </c>
      <c r="B233" s="149" t="s">
        <v>1202</v>
      </c>
      <c r="C233" s="150" t="s">
        <v>1203</v>
      </c>
      <c r="D233" s="151" t="s">
        <v>1204</v>
      </c>
      <c r="E233" s="152">
        <v>46044</v>
      </c>
      <c r="F233" s="131" t="s">
        <v>1205</v>
      </c>
      <c r="G233" s="132" t="s">
        <v>1206</v>
      </c>
      <c r="H233" s="133" t="str">
        <f>HYPERLINK("https://drive.google.com/file/d/1S74MJv1SfsPzi_n7XhPR4Qiv8ESCo19e/view?usp=drivesdk","Dr. Hemanta Kumar Mondal-Bioprocess and fermentation technology ")</f>
        <v xml:space="preserve">Dr. Hemanta Kumar Mondal-Bioprocess and fermentation technology </v>
      </c>
      <c r="I233" s="134" t="s">
        <v>1201</v>
      </c>
    </row>
    <row r="234" ht="12.75">
      <c r="A234" s="29" t="s">
        <v>997</v>
      </c>
      <c r="B234" s="138" t="s">
        <v>1207</v>
      </c>
      <c r="C234" s="146" t="s">
        <v>1208</v>
      </c>
      <c r="D234" s="140" t="s">
        <v>1209</v>
      </c>
      <c r="E234" s="141">
        <v>46044</v>
      </c>
      <c r="F234" s="142" t="s">
        <v>1210</v>
      </c>
      <c r="G234" s="143" t="s">
        <v>1211</v>
      </c>
      <c r="H234" s="144" t="str">
        <f>HYPERLINK("https://drive.google.com/file/d/1hS-_HW8eWrZmb6fgo4xHhVVI9Xt7m2gn/view?usp=drivesdk","Dr.Esha Rami-Genetic Engineering Technology")</f>
        <v xml:space="preserve">Dr.Esha Rami-Genetic Engineering Technology</v>
      </c>
      <c r="I234" s="145" t="s">
        <v>1201</v>
      </c>
    </row>
    <row r="235" ht="12.75">
      <c r="A235" s="29" t="s">
        <v>997</v>
      </c>
      <c r="B235" s="138" t="s">
        <v>1212</v>
      </c>
      <c r="C235" s="146" t="s">
        <v>1213</v>
      </c>
      <c r="D235" s="140" t="s">
        <v>1214</v>
      </c>
      <c r="E235" s="141">
        <v>46044</v>
      </c>
      <c r="F235" s="142" t="s">
        <v>1215</v>
      </c>
      <c r="G235" s="143" t="s">
        <v>1216</v>
      </c>
      <c r="H235" s="144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35" s="145" t="s">
        <v>1201</v>
      </c>
    </row>
    <row r="236" ht="12.75">
      <c r="A236" s="29" t="s">
        <v>997</v>
      </c>
      <c r="B236" s="138" t="s">
        <v>1217</v>
      </c>
      <c r="C236" s="146" t="s">
        <v>1218</v>
      </c>
      <c r="D236" s="140" t="s">
        <v>1219</v>
      </c>
      <c r="E236" s="141">
        <v>46044</v>
      </c>
      <c r="F236" s="142" t="s">
        <v>1220</v>
      </c>
      <c r="G236" s="143" t="s">
        <v>1221</v>
      </c>
      <c r="H236" s="144" t="str">
        <f>HYPERLINK("https://drive.google.com/file/d/1T1BHJT9NsdFO3UgJyllJiw-i1c8gLx-j/view?usp=drivesdk","Dr. Indrani Bhattacharya-Advanced Immunology")</f>
        <v xml:space="preserve">Dr. Indrani Bhattacharya-Advanced Immunology</v>
      </c>
      <c r="I236" s="145" t="s">
        <v>1201</v>
      </c>
    </row>
    <row r="237" ht="12.75">
      <c r="A237" s="29" t="s">
        <v>997</v>
      </c>
      <c r="B237" s="138" t="s">
        <v>1222</v>
      </c>
      <c r="C237" s="146" t="s">
        <v>1223</v>
      </c>
      <c r="D237" s="140" t="s">
        <v>1224</v>
      </c>
      <c r="E237" s="141">
        <v>46044</v>
      </c>
      <c r="F237" s="142" t="s">
        <v>1225</v>
      </c>
      <c r="G237" s="143" t="s">
        <v>1226</v>
      </c>
      <c r="H237" s="144" t="str">
        <f>HYPERLINK("https://drive.google.com/file/d/1RqZoUPZrYdtHZl2_c9xAjqL153Lb5WRy/view?usp=drivesdk","Dr. Girish Deokar-Industrial Microbiology ")</f>
        <v xml:space="preserve">Dr. Girish Deokar-Industrial Microbiology </v>
      </c>
      <c r="I237" s="145" t="s">
        <v>1201</v>
      </c>
    </row>
    <row r="238" ht="12.75">
      <c r="A238" s="29" t="s">
        <v>997</v>
      </c>
      <c r="B238" s="138" t="s">
        <v>1227</v>
      </c>
      <c r="C238" s="146" t="s">
        <v>1228</v>
      </c>
      <c r="D238" s="140" t="s">
        <v>1229</v>
      </c>
      <c r="E238" s="141">
        <v>46044</v>
      </c>
      <c r="F238" s="142" t="s">
        <v>1230</v>
      </c>
      <c r="G238" s="143" t="s">
        <v>1231</v>
      </c>
      <c r="H238" s="144" t="str">
        <f>HYPERLINK("https://drive.google.com/file/d/1z9r1UbakzixRky6EtppR3ITVxGOMN6Wh/view?usp=drivesdk","Dr.Usha Sabahrwal-Medical Microbiology")</f>
        <v xml:space="preserve">Dr.Usha Sabahrwal-Medical Microbiology</v>
      </c>
      <c r="I238" s="145" t="s">
        <v>1232</v>
      </c>
    </row>
    <row r="239" ht="12.75">
      <c r="A239" s="29" t="s">
        <v>997</v>
      </c>
      <c r="B239" s="138" t="s">
        <v>1233</v>
      </c>
      <c r="C239" s="146" t="s">
        <v>1234</v>
      </c>
      <c r="D239" s="140" t="s">
        <v>1235</v>
      </c>
      <c r="E239" s="141">
        <v>46044</v>
      </c>
      <c r="F239" s="142" t="s">
        <v>1236</v>
      </c>
      <c r="G239" s="143" t="s">
        <v>1237</v>
      </c>
      <c r="H239" s="144" t="str">
        <f>HYPERLINK("https://drive.google.com/file/d/1J8DeN54qH2o2ZVhrUdohTsEmhA6_P59I/view?usp=drivesdk","Dr. Lovelesh Singh Saini-Epigentics  ")</f>
        <v xml:space="preserve">Dr. Lovelesh Singh Saini-Epigentics  </v>
      </c>
      <c r="I239" s="145" t="s">
        <v>1232</v>
      </c>
    </row>
    <row r="240" ht="12.75">
      <c r="A240" s="29" t="s">
        <v>997</v>
      </c>
      <c r="B240" s="138" t="s">
        <v>1238</v>
      </c>
      <c r="C240" s="146" t="s">
        <v>1239</v>
      </c>
      <c r="D240" s="140" t="s">
        <v>1240</v>
      </c>
      <c r="E240" s="141">
        <v>46119</v>
      </c>
      <c r="F240" s="142" t="s">
        <v>1241</v>
      </c>
      <c r="G240" s="143" t="s">
        <v>1242</v>
      </c>
      <c r="H240" s="144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40" s="145" t="s">
        <v>1232</v>
      </c>
    </row>
    <row r="241" ht="12.75">
      <c r="A241" s="29" t="s">
        <v>997</v>
      </c>
      <c r="B241" s="138" t="s">
        <v>1243</v>
      </c>
      <c r="C241" s="146" t="s">
        <v>1244</v>
      </c>
      <c r="D241" s="140" t="s">
        <v>1245</v>
      </c>
      <c r="E241" s="141">
        <v>46006</v>
      </c>
      <c r="F241" s="142" t="s">
        <v>1246</v>
      </c>
      <c r="G241" s="143" t="s">
        <v>1247</v>
      </c>
      <c r="H241" s="144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41" s="145" t="s">
        <v>1232</v>
      </c>
    </row>
    <row r="242" ht="12.75">
      <c r="A242" s="29" t="s">
        <v>997</v>
      </c>
      <c r="B242" s="138" t="s">
        <v>1248</v>
      </c>
      <c r="C242" s="146" t="s">
        <v>1249</v>
      </c>
      <c r="D242" s="140" t="s">
        <v>1250</v>
      </c>
      <c r="E242" s="141">
        <v>46006</v>
      </c>
      <c r="F242" s="142" t="s">
        <v>1251</v>
      </c>
      <c r="G242" s="143" t="s">
        <v>1252</v>
      </c>
      <c r="H242" s="144" t="str">
        <f>HYPERLINK("https://drive.google.com/file/d/1o_-nSaJuI8zj6mna45TNyklEXDWX3KlY/view?usp=drivesdk","Dr. Pavan Karkare-Bioorganic Chemistry")</f>
        <v xml:space="preserve">Dr. Pavan Karkare-Bioorganic Chemistry</v>
      </c>
      <c r="I242" s="145" t="s">
        <v>1232</v>
      </c>
    </row>
    <row r="243" ht="12.75">
      <c r="A243" s="29" t="s">
        <v>997</v>
      </c>
      <c r="B243" s="138" t="s">
        <v>1253</v>
      </c>
      <c r="C243" s="146" t="s">
        <v>1254</v>
      </c>
      <c r="D243" s="140" t="s">
        <v>1255</v>
      </c>
      <c r="E243" s="141">
        <v>46006</v>
      </c>
      <c r="F243" s="142" t="s">
        <v>1256</v>
      </c>
      <c r="G243" s="143" t="s">
        <v>1257</v>
      </c>
      <c r="H243" s="144" t="str">
        <f>HYPERLINK("https://drive.google.com/file/d/1VIBPKCQaHzYczVWB2PFhXnuDapMPzMov/view?usp=drivesdk","Dr. Shanta Raj Lakshmi-Heterocyclic chemistry")</f>
        <v xml:space="preserve">Dr. Shanta Raj Lakshmi-Heterocyclic chemistry</v>
      </c>
      <c r="I243" s="145" t="s">
        <v>1232</v>
      </c>
    </row>
    <row r="244" ht="12.75">
      <c r="A244" s="29" t="s">
        <v>997</v>
      </c>
      <c r="B244" s="138" t="s">
        <v>1258</v>
      </c>
      <c r="C244" s="146" t="s">
        <v>1259</v>
      </c>
      <c r="D244" s="140" t="s">
        <v>1260</v>
      </c>
      <c r="E244" s="141">
        <v>46006</v>
      </c>
      <c r="F244" s="142" t="s">
        <v>1261</v>
      </c>
      <c r="G244" s="143" t="s">
        <v>1262</v>
      </c>
      <c r="H244" s="144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44" s="145" t="s">
        <v>1263</v>
      </c>
    </row>
    <row r="245" ht="12.75">
      <c r="A245" s="29" t="s">
        <v>997</v>
      </c>
      <c r="B245" s="138" t="s">
        <v>1264</v>
      </c>
      <c r="C245" s="156" t="s">
        <v>1265</v>
      </c>
      <c r="D245" s="140" t="s">
        <v>1266</v>
      </c>
      <c r="E245" s="141">
        <v>46006</v>
      </c>
      <c r="F245" s="142" t="s">
        <v>1267</v>
      </c>
      <c r="G245" s="143" t="s">
        <v>1268</v>
      </c>
      <c r="H245" s="144" t="str">
        <f>HYPERLINK("https://drive.google.com/file/d/1vX9H8zW7SCIzGRKCMsJCHr1Qa8H67-Ki/view?usp=drivesdk","Dr Sonam Ahuja -Basic of Organic Chemistry-II ")</f>
        <v xml:space="preserve">Dr Sonam Ahuja -Basic of Organic Chemistry-II </v>
      </c>
      <c r="I245" s="145" t="s">
        <v>1263</v>
      </c>
    </row>
    <row r="246" ht="12.75">
      <c r="A246" s="29" t="s">
        <v>997</v>
      </c>
      <c r="B246" s="146" t="s">
        <v>1269</v>
      </c>
      <c r="C246" s="157" t="s">
        <v>1270</v>
      </c>
      <c r="D246" s="140" t="s">
        <v>1271</v>
      </c>
      <c r="E246" s="141">
        <v>46006</v>
      </c>
      <c r="F246" s="142" t="s">
        <v>1272</v>
      </c>
      <c r="G246" s="143" t="s">
        <v>1273</v>
      </c>
      <c r="H246" s="144" t="str">
        <f>HYPERLINK("https://drive.google.com/file/d/1Mumd3cHZC2TOIyumN2IqzXoZqfqpba3z/view?usp=drivesdk","Dr. Gautam Patel-Organic chemistry")</f>
        <v xml:space="preserve">Dr. Gautam Patel-Organic chemistry</v>
      </c>
      <c r="I246" s="145" t="s">
        <v>1263</v>
      </c>
    </row>
    <row r="247" ht="12.75">
      <c r="A247" s="29" t="s">
        <v>997</v>
      </c>
      <c r="B247" s="138" t="s">
        <v>1274</v>
      </c>
      <c r="C247" s="146" t="s">
        <v>1275</v>
      </c>
      <c r="D247" s="140" t="s">
        <v>1276</v>
      </c>
      <c r="E247" s="141">
        <v>46006</v>
      </c>
      <c r="F247" s="142" t="s">
        <v>1277</v>
      </c>
      <c r="G247" s="143" t="s">
        <v>1278</v>
      </c>
      <c r="H247" s="144" t="str">
        <f>HYPERLINK("https://drive.google.com/file/d/1sGugRtwpjXeMEsMK7KBUUtBy9yhhoVvv/view?usp=drivesdk","Dr Jiten Chudasma-Inorganic Chemistry-II")</f>
        <v xml:space="preserve">Dr Jiten Chudasma-Inorganic Chemistry-II</v>
      </c>
      <c r="I247" s="145" t="s">
        <v>1263</v>
      </c>
    </row>
    <row r="248" ht="12.75">
      <c r="A248" s="29" t="s">
        <v>997</v>
      </c>
      <c r="B248" s="138" t="s">
        <v>1279</v>
      </c>
      <c r="C248" s="146" t="s">
        <v>1280</v>
      </c>
      <c r="D248" s="140" t="s">
        <v>1281</v>
      </c>
      <c r="E248" s="141">
        <v>46006</v>
      </c>
      <c r="F248" s="142" t="s">
        <v>1282</v>
      </c>
      <c r="G248" s="143" t="s">
        <v>1283</v>
      </c>
      <c r="H248" s="144" t="str">
        <f>HYPERLINK("https://drive.google.com/file/d/11qDDrHhjj7ZD192pBcq64TIMZ8alsZqj/view?usp=drivesdk","Dr. Kushan Parikh-Applied Chemistry-II ")</f>
        <v xml:space="preserve">Dr. Kushan Parikh-Applied Chemistry-II </v>
      </c>
      <c r="I248" s="145" t="s">
        <v>1263</v>
      </c>
    </row>
    <row r="249" ht="12.75">
      <c r="A249" s="29" t="s">
        <v>997</v>
      </c>
      <c r="B249" s="138" t="s">
        <v>1284</v>
      </c>
      <c r="C249" s="146" t="s">
        <v>1285</v>
      </c>
      <c r="D249" s="140" t="s">
        <v>1286</v>
      </c>
      <c r="E249" s="141">
        <v>46006</v>
      </c>
      <c r="F249" s="142" t="s">
        <v>1287</v>
      </c>
      <c r="G249" s="143" t="s">
        <v>1288</v>
      </c>
      <c r="H249" s="144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49" s="145" t="s">
        <v>1263</v>
      </c>
    </row>
    <row r="250" ht="12.75">
      <c r="A250" s="29" t="s">
        <v>997</v>
      </c>
      <c r="B250" s="138" t="s">
        <v>1289</v>
      </c>
      <c r="C250" s="146" t="s">
        <v>1290</v>
      </c>
      <c r="D250" s="140" t="s">
        <v>1291</v>
      </c>
      <c r="E250" s="141">
        <v>46006</v>
      </c>
      <c r="F250" s="142" t="s">
        <v>1292</v>
      </c>
      <c r="G250" s="143" t="s">
        <v>1293</v>
      </c>
      <c r="H250" s="144" t="str">
        <f>HYPERLINK("https://drive.google.com/file/d/1mfY57SpIfPkLQOR2sD7OJz4HZ7qpAEXl/view?usp=drivesdk","Dr. Tirth Thaker-Natural products")</f>
        <v xml:space="preserve">Dr. Tirth Thaker-Natural products</v>
      </c>
      <c r="I250" s="145" t="s">
        <v>1263</v>
      </c>
    </row>
    <row r="251" ht="12.75">
      <c r="A251" s="29" t="s">
        <v>997</v>
      </c>
      <c r="B251" s="138" t="s">
        <v>1294</v>
      </c>
      <c r="C251" s="146" t="s">
        <v>1295</v>
      </c>
      <c r="D251" s="140" t="s">
        <v>1296</v>
      </c>
      <c r="E251" s="141">
        <v>46006</v>
      </c>
      <c r="F251" s="142" t="s">
        <v>1297</v>
      </c>
      <c r="G251" s="143" t="s">
        <v>1298</v>
      </c>
      <c r="H251" s="144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51" s="145" t="s">
        <v>1299</v>
      </c>
    </row>
    <row r="252" ht="12.75">
      <c r="A252" s="29" t="s">
        <v>997</v>
      </c>
      <c r="B252" s="138" t="s">
        <v>1300</v>
      </c>
      <c r="C252" s="146" t="s">
        <v>1301</v>
      </c>
      <c r="D252" s="140" t="s">
        <v>1302</v>
      </c>
      <c r="E252" s="141">
        <v>46006</v>
      </c>
      <c r="F252" s="142" t="s">
        <v>1303</v>
      </c>
      <c r="G252" s="143" t="s">
        <v>1304</v>
      </c>
      <c r="H252" s="144" t="str">
        <f>HYPERLINK("https://drive.google.com/file/d/1jwSVH1CyVPk_9vL_nWRcmlowiqzKzFKY/view?usp=drivesdk","Dr. Asha Joshi Thanki-Computational Chemistry")</f>
        <v xml:space="preserve">Dr. Asha Joshi Thanki-Computational Chemistry</v>
      </c>
      <c r="I252" s="145" t="s">
        <v>1299</v>
      </c>
    </row>
    <row r="253" ht="12.75">
      <c r="A253" s="29" t="s">
        <v>997</v>
      </c>
      <c r="B253" s="138" t="s">
        <v>1305</v>
      </c>
      <c r="C253" s="146" t="s">
        <v>1306</v>
      </c>
      <c r="D253" s="147" t="s">
        <v>1307</v>
      </c>
      <c r="E253" s="148">
        <v>46006</v>
      </c>
      <c r="F253" s="142" t="s">
        <v>1308</v>
      </c>
      <c r="G253" s="143" t="s">
        <v>1309</v>
      </c>
      <c r="H253" s="144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53" s="145" t="s">
        <v>1299</v>
      </c>
    </row>
    <row r="254" ht="12.75">
      <c r="A254" s="29" t="s">
        <v>997</v>
      </c>
      <c r="B254" s="149" t="s">
        <v>1310</v>
      </c>
      <c r="C254" s="150" t="s">
        <v>1311</v>
      </c>
      <c r="D254" s="151" t="s">
        <v>1312</v>
      </c>
      <c r="E254" s="152">
        <v>46006</v>
      </c>
      <c r="F254" s="131" t="s">
        <v>1313</v>
      </c>
      <c r="G254" s="132" t="s">
        <v>1314</v>
      </c>
      <c r="H254" s="133" t="str">
        <f>HYPERLINK("https://drive.google.com/file/d/18p6iE6Owx7q7is_NV19bnnis8adCZn6y/view?usp=drivesdk","Dr Shivang Desai-Basics of Organic Chemistry (FS_minor) ")</f>
        <v xml:space="preserve">Dr Shivang Desai-Basics of Organic Chemistry (FS_minor) </v>
      </c>
      <c r="I254" s="134" t="s">
        <v>1299</v>
      </c>
    </row>
    <row r="255" ht="12.75">
      <c r="A255" s="29" t="s">
        <v>997</v>
      </c>
      <c r="B255" s="138" t="s">
        <v>1315</v>
      </c>
      <c r="C255" s="146" t="s">
        <v>1316</v>
      </c>
      <c r="D255" s="140" t="s">
        <v>1317</v>
      </c>
      <c r="E255" s="141">
        <v>46006</v>
      </c>
      <c r="F255" s="142" t="s">
        <v>1318</v>
      </c>
      <c r="G255" s="143" t="s">
        <v>1319</v>
      </c>
      <c r="H255" s="144" t="str">
        <f>HYPERLINK("https://drive.google.com/file/d/1OtVDlXi06Knz22wa51NVGpBFGzg98jPG/view?usp=drivesdk","Dr. Yamee Shah-Food Labeling and Consumer Awareness  ")</f>
        <v xml:space="preserve">Dr. Yamee Shah-Food Labeling and Consumer Awareness  </v>
      </c>
      <c r="I255" s="145" t="s">
        <v>1299</v>
      </c>
    </row>
    <row r="256" ht="12.75">
      <c r="A256" s="29" t="s">
        <v>997</v>
      </c>
      <c r="B256" s="138" t="s">
        <v>1320</v>
      </c>
      <c r="C256" s="146" t="s">
        <v>1321</v>
      </c>
      <c r="D256" s="140" t="s">
        <v>1322</v>
      </c>
      <c r="E256" s="141">
        <v>46006</v>
      </c>
      <c r="F256" s="142" t="s">
        <v>1323</v>
      </c>
      <c r="G256" s="143" t="s">
        <v>1324</v>
      </c>
      <c r="H256" s="144" t="str">
        <f>HYPERLINK("https://drive.google.com/file/d/16OT2VsVgVSOsl7oXt148Mk51X4if4xih/view?usp=drivesdk","Dr. Deepika Anand-Food Chemistry")</f>
        <v xml:space="preserve">Dr. Deepika Anand-Food Chemistry</v>
      </c>
      <c r="I256" s="145" t="s">
        <v>1325</v>
      </c>
    </row>
    <row r="257" ht="14.25">
      <c r="A257" s="29" t="s">
        <v>997</v>
      </c>
      <c r="B257" s="138" t="s">
        <v>1326</v>
      </c>
      <c r="C257" s="146" t="s">
        <v>1327</v>
      </c>
      <c r="D257" s="140" t="s">
        <v>1328</v>
      </c>
      <c r="E257" s="141">
        <v>46006</v>
      </c>
      <c r="F257" s="142" t="s">
        <v>1329</v>
      </c>
      <c r="G257" s="143" t="s">
        <v>1330</v>
      </c>
      <c r="H257" s="144" t="str">
        <f>HYPERLINK("https://drive.google.com/file/d/1zmqt11BHP-b49Mpg4teJro2u_pjSDZtQ/view?usp=drivesdk","Dr. Sheetal Chhaya-Introduction to Nutrition ")</f>
        <v xml:space="preserve">Dr. Sheetal Chhaya-Introduction to Nutrition </v>
      </c>
      <c r="I257" s="145" t="s">
        <v>1325</v>
      </c>
    </row>
    <row r="258" ht="14.25">
      <c r="A258" s="29" t="s">
        <v>997</v>
      </c>
      <c r="B258" s="138" t="s">
        <v>1331</v>
      </c>
      <c r="C258" s="146" t="s">
        <v>1332</v>
      </c>
      <c r="D258" s="140" t="s">
        <v>1333</v>
      </c>
      <c r="E258" s="141">
        <v>46006</v>
      </c>
      <c r="F258" s="142" t="s">
        <v>1334</v>
      </c>
      <c r="G258" s="143" t="s">
        <v>1335</v>
      </c>
      <c r="H258" s="144" t="str">
        <f>HYPERLINK("https://drive.google.com/file/d/1y6XvEc8lsdJQhX2n3u5uUX0pJWzJ-m9C/view?usp=drivesdk","Ms. Gauri Bhoyar-Nutrition Physiology 2")</f>
        <v xml:space="preserve">Ms. Gauri Bhoyar-Nutrition Physiology 2</v>
      </c>
      <c r="I258" s="145" t="s">
        <v>1325</v>
      </c>
    </row>
    <row r="259" ht="14.25">
      <c r="A259" s="29" t="s">
        <v>997</v>
      </c>
      <c r="B259" s="138" t="s">
        <v>1336</v>
      </c>
      <c r="C259" s="146" t="s">
        <v>1337</v>
      </c>
      <c r="D259" s="140" t="s">
        <v>1338</v>
      </c>
      <c r="E259" s="141">
        <v>46006</v>
      </c>
      <c r="F259" s="142" t="s">
        <v>1339</v>
      </c>
      <c r="G259" s="143" t="s">
        <v>1340</v>
      </c>
      <c r="H259" s="144" t="str">
        <f>HYPERLINK("https://drive.google.com/file/d/12oJZX0zOCxeyiyPdV8DAUW89y4XPydtV/view?usp=drivesdk","Ms. Gayatri Parmar-Meal Planning in Lifecyle")</f>
        <v xml:space="preserve">Ms. Gayatri Parmar-Meal Planning in Lifecyle</v>
      </c>
      <c r="I259" s="145" t="s">
        <v>1325</v>
      </c>
    </row>
    <row r="260" ht="14.25">
      <c r="A260" s="29" t="s">
        <v>997</v>
      </c>
      <c r="B260" s="138" t="s">
        <v>1341</v>
      </c>
      <c r="C260" s="146" t="s">
        <v>1342</v>
      </c>
      <c r="D260" s="140" t="s">
        <v>1343</v>
      </c>
      <c r="E260" s="141">
        <v>46006</v>
      </c>
      <c r="F260" s="142" t="s">
        <v>1344</v>
      </c>
      <c r="G260" s="143" t="s">
        <v>1345</v>
      </c>
      <c r="H260" s="144" t="str">
        <f>HYPERLINK("https://drive.google.com/file/d/1os72qtt2Z0ibsDYfndDCB6mHFoya68C5/view?usp=drivesdk","Ms. Mansi Patel-Nutritional Status Assessment")</f>
        <v xml:space="preserve">Ms. Mansi Patel-Nutritional Status Assessment</v>
      </c>
      <c r="I260" s="145" t="s">
        <v>1325</v>
      </c>
    </row>
    <row r="261" ht="14.25">
      <c r="A261" s="29" t="s">
        <v>997</v>
      </c>
      <c r="B261" s="158" t="s">
        <v>1346</v>
      </c>
      <c r="C261" s="159" t="s">
        <v>1347</v>
      </c>
      <c r="D261" s="140" t="s">
        <v>1348</v>
      </c>
      <c r="E261" s="141">
        <v>46006</v>
      </c>
      <c r="F261" s="142" t="s">
        <v>1349</v>
      </c>
      <c r="G261" s="143" t="s">
        <v>1350</v>
      </c>
      <c r="H261" s="144" t="str">
        <f>HYPERLINK("https://drive.google.com/file/d/1dMVe7aTKqPR16wi0kXgAPH7K0i_1gvsQ/view?usp=drivesdk","Dhanya Joseph-Food Chemistry - II")</f>
        <v xml:space="preserve">Dhanya Joseph-Food Chemistry - II</v>
      </c>
      <c r="I261" s="145" t="s">
        <v>1325</v>
      </c>
    </row>
    <row r="262" ht="16.5">
      <c r="A262" s="29" t="s">
        <v>997</v>
      </c>
      <c r="B262" s="160" t="s">
        <v>1351</v>
      </c>
      <c r="C262" s="159" t="s">
        <v>1352</v>
      </c>
      <c r="D262" s="140" t="s">
        <v>1353</v>
      </c>
      <c r="E262" s="161">
        <v>46030</v>
      </c>
      <c r="F262" s="142" t="s">
        <v>1354</v>
      </c>
      <c r="G262" s="143" t="s">
        <v>1355</v>
      </c>
      <c r="H262" s="144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62" s="145" t="s">
        <v>1325</v>
      </c>
    </row>
    <row r="263" ht="16.5">
      <c r="A263" s="29" t="s">
        <v>997</v>
      </c>
      <c r="B263" s="162" t="s">
        <v>1351</v>
      </c>
      <c r="C263" s="159" t="s">
        <v>1356</v>
      </c>
      <c r="D263" s="140" t="s">
        <v>1357</v>
      </c>
      <c r="E263" s="161">
        <v>46030</v>
      </c>
      <c r="F263" s="142" t="s">
        <v>1358</v>
      </c>
      <c r="G263" s="143" t="s">
        <v>1359</v>
      </c>
      <c r="H263" s="144" t="str">
        <f>HYPERLINK("https://drive.google.com/file/d/1iInHBI7YryE88xC0_Ur__tiz-jkT7VdZ/view?usp=drivesdk","Dr. Anil Ghorband-Post-Harvest Technology")</f>
        <v xml:space="preserve">Dr. Anil Ghorband-Post-Harvest Technology</v>
      </c>
      <c r="I263" s="145" t="s">
        <v>1360</v>
      </c>
    </row>
    <row r="264" ht="14.25">
      <c r="A264" s="29" t="s">
        <v>997</v>
      </c>
      <c r="B264" s="155" t="s">
        <v>1361</v>
      </c>
      <c r="C264" s="159" t="s">
        <v>1362</v>
      </c>
      <c r="D264" s="140" t="s">
        <v>1363</v>
      </c>
      <c r="E264" s="161">
        <v>46030</v>
      </c>
      <c r="F264" s="142" t="s">
        <v>1364</v>
      </c>
      <c r="G264" s="143" t="s">
        <v>1365</v>
      </c>
      <c r="H264" s="144" t="str">
        <f>HYPERLINK("https://drive.google.com/file/d/1q-nERTmAJm3mVWQUnf1MijBM3PO3o8Ru/view?usp=drivesdk","Mr.Awanish Singh-Spice and Flavour Technology")</f>
        <v xml:space="preserve">Mr.Awanish Singh-Spice and Flavour Technology</v>
      </c>
      <c r="I264" s="145" t="s">
        <v>1360</v>
      </c>
    </row>
    <row r="265" ht="14.25">
      <c r="A265" s="29" t="s">
        <v>997</v>
      </c>
      <c r="B265" s="155" t="s">
        <v>1346</v>
      </c>
      <c r="C265" s="159" t="s">
        <v>1366</v>
      </c>
      <c r="D265" s="140" t="s">
        <v>1367</v>
      </c>
      <c r="E265" s="161">
        <v>46030</v>
      </c>
      <c r="F265" s="142" t="s">
        <v>1368</v>
      </c>
      <c r="G265" s="143" t="s">
        <v>1369</v>
      </c>
      <c r="H265" s="144" t="str">
        <f>HYPERLINK("https://drive.google.com/file/d/1UzCqEs-WXPC0FOOEdyWwP06WnT4vI_sC/view?usp=drivesdk","Dhanya Joseph-Processing of Milk and Milk Products ")</f>
        <v xml:space="preserve">Dhanya Joseph-Processing of Milk and Milk Products </v>
      </c>
      <c r="I265" s="145" t="s">
        <v>1360</v>
      </c>
    </row>
    <row r="266" ht="15">
      <c r="A266" s="29" t="s">
        <v>997</v>
      </c>
      <c r="B266" s="163" t="s">
        <v>1370</v>
      </c>
      <c r="C266" s="159" t="s">
        <v>1371</v>
      </c>
      <c r="D266" s="140" t="s">
        <v>1372</v>
      </c>
      <c r="E266" s="161">
        <v>46030</v>
      </c>
      <c r="F266" s="142" t="s">
        <v>1373</v>
      </c>
      <c r="G266" s="143" t="s">
        <v>1374</v>
      </c>
      <c r="H266" s="144" t="str">
        <f>HYPERLINK("https://drive.google.com/file/d/1_3ZBYMmTsRyqvcm7YAQ2t6T37Nr1_t-0/view?usp=drivesdk","Ms.Sachin Suse-Food Additives")</f>
        <v xml:space="preserve">Ms.Sachin Suse-Food Additives</v>
      </c>
      <c r="I266" s="145" t="s">
        <v>1360</v>
      </c>
    </row>
    <row r="267" ht="16.5">
      <c r="A267" s="29" t="s">
        <v>997</v>
      </c>
      <c r="B267" s="164" t="s">
        <v>1375</v>
      </c>
      <c r="C267" s="165" t="s">
        <v>1376</v>
      </c>
      <c r="D267" s="147" t="s">
        <v>1377</v>
      </c>
      <c r="E267" s="166">
        <v>46030</v>
      </c>
      <c r="F267" s="142" t="s">
        <v>1378</v>
      </c>
      <c r="G267" s="143" t="s">
        <v>1379</v>
      </c>
      <c r="H267" s="144" t="str">
        <f>HYPERLINK("https://drive.google.com/file/d/1JOrrO8qyp9nwxYLLdaxP7yQOMQHr2sn8/view?usp=drivesdk","Dr. Gunnam Venkata Ratnalu-Economic Geology")</f>
        <v xml:space="preserve">Dr. Gunnam Venkata Ratnalu-Economic Geology</v>
      </c>
      <c r="I267" s="145" t="s">
        <v>1360</v>
      </c>
    </row>
    <row r="268" ht="12.75">
      <c r="A268" s="167" t="s">
        <v>1380</v>
      </c>
      <c r="B268" s="168" t="s">
        <v>1381</v>
      </c>
      <c r="C268" s="169" t="s">
        <v>1382</v>
      </c>
      <c r="D268" s="151" t="s">
        <v>1383</v>
      </c>
      <c r="E268" s="152">
        <v>46079</v>
      </c>
      <c r="F268" s="142" t="s">
        <v>1384</v>
      </c>
      <c r="G268" s="143" t="s">
        <v>1385</v>
      </c>
      <c r="H268" s="144" t="str">
        <f>HYPERLINK("https://drive.google.com/file/d/1_G1-eU8I60Kxx_1mTdrxTiQCSLKBH9xh/view?usp=drivesdk","Dr. Rajni Gupta-History of Modern India-I (1750-1857) ")</f>
        <v xml:space="preserve">Dr. Rajni Gupta-History of Modern India-I (1750-1857) </v>
      </c>
      <c r="I268" s="145" t="s">
        <v>1386</v>
      </c>
    </row>
    <row r="269" ht="12.75">
      <c r="A269" s="167" t="s">
        <v>1380</v>
      </c>
      <c r="B269" s="170" t="s">
        <v>1387</v>
      </c>
      <c r="C269" s="171" t="s">
        <v>1388</v>
      </c>
      <c r="D269" s="172" t="s">
        <v>1389</v>
      </c>
      <c r="E269" s="173">
        <v>46079</v>
      </c>
      <c r="F269" s="142" t="s">
        <v>1390</v>
      </c>
      <c r="G269" s="143" t="s">
        <v>1391</v>
      </c>
      <c r="H269" s="144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69" s="145" t="s">
        <v>1386</v>
      </c>
    </row>
    <row r="270" ht="16.5">
      <c r="A270" s="167" t="s">
        <v>1380</v>
      </c>
      <c r="B270" s="170" t="s">
        <v>1392</v>
      </c>
      <c r="C270" s="174" t="s">
        <v>1393</v>
      </c>
      <c r="D270" s="172" t="s">
        <v>1394</v>
      </c>
      <c r="E270" s="173">
        <v>46079</v>
      </c>
      <c r="F270" s="142" t="s">
        <v>1395</v>
      </c>
      <c r="G270" s="143" t="s">
        <v>1396</v>
      </c>
      <c r="H270" s="144" t="str">
        <f>HYPERLINK("https://drive.google.com/file/d/1r7sZYnYoibjfibt8KVRZCbsQav8E1HNt/view?usp=drivesdk","Dr. Suresh M-INTRODUCTION TO MASS COMMUNICATION  ")</f>
        <v xml:space="preserve">Dr. Suresh M-INTRODUCTION TO MASS COMMUNICATION  </v>
      </c>
      <c r="I270" s="145" t="s">
        <v>1386</v>
      </c>
    </row>
    <row r="271" ht="16.5">
      <c r="A271" s="167" t="s">
        <v>1380</v>
      </c>
      <c r="B271" s="175" t="s">
        <v>1397</v>
      </c>
      <c r="C271" s="174" t="s">
        <v>1398</v>
      </c>
      <c r="D271" s="172" t="s">
        <v>1399</v>
      </c>
      <c r="E271" s="173">
        <v>46079</v>
      </c>
      <c r="F271" s="142" t="s">
        <v>1400</v>
      </c>
      <c r="G271" s="143" t="s">
        <v>1401</v>
      </c>
      <c r="H271" s="144" t="str">
        <f>HYPERLINK("https://drive.google.com/file/d/1fmjjHceRi07qeYn170bH7ReJeFhbIAvi/view?usp=drivesdk","Dr. Ashish Dubey-Advertising")</f>
        <v xml:space="preserve">Dr. Ashish Dubey-Advertising</v>
      </c>
      <c r="I271" s="145" t="s">
        <v>1386</v>
      </c>
    </row>
    <row r="272" ht="16.5">
      <c r="A272" s="167" t="s">
        <v>1380</v>
      </c>
      <c r="B272" s="170" t="s">
        <v>1402</v>
      </c>
      <c r="C272" s="176" t="s">
        <v>1403</v>
      </c>
      <c r="D272" s="172" t="s">
        <v>1404</v>
      </c>
      <c r="E272" s="173">
        <v>46079</v>
      </c>
      <c r="F272" s="142" t="s">
        <v>1405</v>
      </c>
      <c r="G272" s="143" t="s">
        <v>1406</v>
      </c>
      <c r="H272" s="144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72" s="145" t="s">
        <v>1386</v>
      </c>
    </row>
    <row r="273" ht="12.75">
      <c r="A273" s="167" t="s">
        <v>1380</v>
      </c>
      <c r="B273" s="170" t="s">
        <v>1407</v>
      </c>
      <c r="C273" s="171" t="s">
        <v>1408</v>
      </c>
      <c r="D273" s="177" t="s">
        <v>1409</v>
      </c>
      <c r="E273" s="178">
        <v>46079</v>
      </c>
      <c r="F273" s="142" t="s">
        <v>1410</v>
      </c>
      <c r="G273" s="143" t="s">
        <v>1411</v>
      </c>
      <c r="H273" s="144" t="str">
        <f>HYPERLINK("https://drive.google.com/file/d/1T-2OOAkrWCencZMfCmcmn1KNtSntRcY_/view?usp=drivesdk","Dr Megha Taragi-Social Psychology")</f>
        <v xml:space="preserve">Dr Megha Taragi-Social Psychology</v>
      </c>
      <c r="I273" s="145" t="s">
        <v>1412</v>
      </c>
    </row>
    <row r="274" ht="12.75">
      <c r="A274" s="167" t="s">
        <v>1380</v>
      </c>
      <c r="B274" s="168" t="s">
        <v>1413</v>
      </c>
      <c r="C274" s="179" t="s">
        <v>1414</v>
      </c>
      <c r="D274" s="151" t="s">
        <v>1415</v>
      </c>
      <c r="E274" s="152">
        <v>46079</v>
      </c>
      <c r="F274" s="142" t="s">
        <v>1416</v>
      </c>
      <c r="G274" s="143" t="s">
        <v>1417</v>
      </c>
      <c r="H274" s="144" t="str">
        <f>HYPERLINK("https://drive.google.com/file/d/1iAwXLzOSMj1halAYTS2fqa1ZlTCDBxPB/view?usp=drivesdk","Dr. Vijendranath Pathak-Psychological Testing ")</f>
        <v xml:space="preserve">Dr. Vijendranath Pathak-Psychological Testing </v>
      </c>
      <c r="I274" s="145" t="s">
        <v>1412</v>
      </c>
    </row>
    <row r="275" ht="12.75">
      <c r="A275" s="167" t="s">
        <v>1380</v>
      </c>
      <c r="B275" s="170" t="s">
        <v>1418</v>
      </c>
      <c r="C275" s="171" t="s">
        <v>1419</v>
      </c>
      <c r="D275" s="172" t="s">
        <v>1420</v>
      </c>
      <c r="E275" s="173">
        <v>46079</v>
      </c>
      <c r="F275" s="142" t="s">
        <v>1421</v>
      </c>
      <c r="G275" s="143" t="s">
        <v>1422</v>
      </c>
      <c r="H275" s="144" t="str">
        <f>HYPERLINK("https://drive.google.com/file/d/1R9u6J9TNdSRlMd3_9zv6M5Ywencp3E16/view?usp=drivesdk","Dr. Dayal Singh Satha-Local Self Government")</f>
        <v xml:space="preserve">Dr. Dayal Singh Satha-Local Self Government</v>
      </c>
      <c r="I275" s="145" t="s">
        <v>1412</v>
      </c>
    </row>
    <row r="276" ht="12.75">
      <c r="A276" s="167" t="s">
        <v>1380</v>
      </c>
      <c r="B276" s="170" t="s">
        <v>1423</v>
      </c>
      <c r="C276" s="171" t="s">
        <v>1424</v>
      </c>
      <c r="D276" s="172" t="s">
        <v>1425</v>
      </c>
      <c r="E276" s="173">
        <v>46079</v>
      </c>
      <c r="F276" s="142" t="s">
        <v>1426</v>
      </c>
      <c r="G276" s="143" t="s">
        <v>1427</v>
      </c>
      <c r="H276" s="144" t="str">
        <f>HYPERLINK("https://drive.google.com/file/d/1CD87JT93ubWaHDXY8nWJZZyiOsnrELwn/view?usp=drivesdk","Dr. Priyanka-Microeconomics I")</f>
        <v xml:space="preserve">Dr. Priyanka-Microeconomics I</v>
      </c>
      <c r="I276" s="145" t="s">
        <v>1412</v>
      </c>
    </row>
    <row r="277" ht="12.75">
      <c r="A277" s="167" t="s">
        <v>1380</v>
      </c>
      <c r="B277" s="170" t="s">
        <v>1428</v>
      </c>
      <c r="C277" s="180" t="s">
        <v>1429</v>
      </c>
      <c r="D277" s="177" t="s">
        <v>1430</v>
      </c>
      <c r="E277" s="178">
        <v>46079</v>
      </c>
      <c r="F277" s="142" t="s">
        <v>1431</v>
      </c>
      <c r="G277" s="143" t="s">
        <v>1432</v>
      </c>
      <c r="H277" s="144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77" s="145" t="s">
        <v>1433</v>
      </c>
    </row>
    <row r="278" ht="12.75">
      <c r="A278" s="167" t="s">
        <v>1380</v>
      </c>
      <c r="B278" s="168" t="s">
        <v>1434</v>
      </c>
      <c r="C278" s="179" t="s">
        <v>1435</v>
      </c>
      <c r="D278" s="151" t="s">
        <v>1436</v>
      </c>
      <c r="E278" s="152">
        <v>46079</v>
      </c>
      <c r="F278" s="142" t="s">
        <v>1437</v>
      </c>
      <c r="G278" s="143" t="s">
        <v>1438</v>
      </c>
      <c r="H278" s="144" t="str">
        <f>HYPERLINK("https://drive.google.com/file/d/1pvouh93iZSftaFDuGwKsoW_ObiiQ8pPW/view?usp=drivesdk","Gagan Vashishth-Indian Economy  ")</f>
        <v xml:space="preserve">Gagan Vashishth-Indian Economy  </v>
      </c>
      <c r="I278" s="145" t="s">
        <v>1412</v>
      </c>
    </row>
    <row r="279" ht="12.75">
      <c r="A279" s="167" t="s">
        <v>1380</v>
      </c>
      <c r="B279" s="170" t="s">
        <v>1439</v>
      </c>
      <c r="C279" s="171" t="s">
        <v>1440</v>
      </c>
      <c r="D279" s="172" t="s">
        <v>1441</v>
      </c>
      <c r="E279" s="173">
        <v>46079</v>
      </c>
      <c r="F279" s="142" t="s">
        <v>1442</v>
      </c>
      <c r="G279" s="143" t="s">
        <v>1443</v>
      </c>
      <c r="H279" s="144" t="str">
        <f>HYPERLINK("https://drive.google.com/file/d/1AVHayipmqFsbmD-iXlGYa2Q3niHw2Zxq/view?usp=drivesdk","Ms. Tanya Mandloi -Psychopathology -2")</f>
        <v xml:space="preserve">Ms. Tanya Mandloi -Psychopathology -2</v>
      </c>
      <c r="I279" s="145" t="s">
        <v>1444</v>
      </c>
    </row>
    <row r="280" ht="14.25">
      <c r="A280" s="167" t="s">
        <v>1380</v>
      </c>
      <c r="B280" s="170" t="s">
        <v>1445</v>
      </c>
      <c r="C280" s="181" t="s">
        <v>1446</v>
      </c>
      <c r="D280" s="172" t="s">
        <v>1447</v>
      </c>
      <c r="E280" s="173">
        <v>46079</v>
      </c>
      <c r="F280" s="142" t="s">
        <v>1448</v>
      </c>
      <c r="G280" s="143" t="s">
        <v>1449</v>
      </c>
      <c r="H280" s="144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80" s="145" t="s">
        <v>1444</v>
      </c>
    </row>
    <row r="281" ht="15.75">
      <c r="A281" s="167" t="s">
        <v>1380</v>
      </c>
      <c r="B281" s="170" t="s">
        <v>1450</v>
      </c>
      <c r="C281" s="182" t="s">
        <v>1451</v>
      </c>
      <c r="D281" s="177" t="s">
        <v>1452</v>
      </c>
      <c r="E281" s="178">
        <v>46079</v>
      </c>
      <c r="F281" s="142" t="s">
        <v>1453</v>
      </c>
      <c r="G281" s="143" t="s">
        <v>1454</v>
      </c>
      <c r="H281" s="144" t="str">
        <f>HYPERLINK("https://drive.google.com/file/d/1q0cmv6vW345h1HsGYkfqBmU74CiGmble/view?usp=drivesdk","Ms. Gargi Sharma-Fiction - 1")</f>
        <v xml:space="preserve">Ms. Gargi Sharma-Fiction - 1</v>
      </c>
      <c r="I281" s="145" t="s">
        <v>1444</v>
      </c>
    </row>
    <row r="282" ht="12.75">
      <c r="A282" s="167" t="s">
        <v>1380</v>
      </c>
      <c r="B282" s="168" t="s">
        <v>1455</v>
      </c>
      <c r="C282" s="179" t="s">
        <v>1456</v>
      </c>
      <c r="D282" s="183" t="s">
        <v>1457</v>
      </c>
      <c r="E282" s="184">
        <v>46079</v>
      </c>
      <c r="F282" s="142" t="s">
        <v>1458</v>
      </c>
      <c r="G282" s="143" t="s">
        <v>1459</v>
      </c>
      <c r="H282" s="144" t="str">
        <f>HYPERLINK("https://drive.google.com/file/d/1u_1OwtHQZUWlx4ZT0Hg3h0pnnVxaXdAQ/view?usp=drivesdk","Dr. Shobhana Singh-Course Design For English Language Teaching")</f>
        <v xml:space="preserve">Dr. Shobhana Singh-Course Design For English Language Teaching</v>
      </c>
      <c r="I282" s="145" t="s">
        <v>1444</v>
      </c>
    </row>
    <row r="283" ht="12.75">
      <c r="A283" s="167" t="s">
        <v>1380</v>
      </c>
      <c r="B283" s="168" t="s">
        <v>1460</v>
      </c>
      <c r="C283" s="179" t="s">
        <v>1461</v>
      </c>
      <c r="D283" s="183" t="s">
        <v>1462</v>
      </c>
      <c r="E283" s="184">
        <v>46079</v>
      </c>
      <c r="F283" s="142" t="s">
        <v>1463</v>
      </c>
      <c r="G283" s="143" t="s">
        <v>1464</v>
      </c>
      <c r="H283" s="144" t="str">
        <f>HYPERLINK("https://drive.google.com/file/d/1daFveZl_zmym-9wKjUcKqC9Erqljia6D/view?usp=drivesdk","Ms. Shefali Upadhyay-Psychological Disorders and Diagnostics-I ")</f>
        <v xml:space="preserve">Ms. Shefali Upadhyay-Psychological Disorders and Diagnostics-I </v>
      </c>
      <c r="I283" s="145" t="s">
        <v>1444</v>
      </c>
    </row>
    <row r="284" ht="12.75">
      <c r="A284" s="167" t="s">
        <v>1380</v>
      </c>
      <c r="B284" s="168" t="s">
        <v>1465</v>
      </c>
      <c r="C284" s="179" t="s">
        <v>1466</v>
      </c>
      <c r="D284" s="151" t="s">
        <v>1467</v>
      </c>
      <c r="E284" s="152">
        <v>46079</v>
      </c>
      <c r="F284" s="142" t="s">
        <v>1468</v>
      </c>
      <c r="G284" s="143" t="s">
        <v>1469</v>
      </c>
      <c r="H284" s="144" t="str">
        <f>HYPERLINK("https://drive.google.com/file/d/1Rg-yBpQvMfr_JeI2ID4ccCwPfU4iCbUs/view?usp=drivesdk","Ms. Sanskruti Pathak, Dr. Vijendranath Pathak-School and Educational PSychology")</f>
        <v xml:space="preserve">Ms. Sanskruti Pathak, Dr. Vijendranath Pathak-School and Educational PSychology</v>
      </c>
      <c r="I284" s="145" t="s">
        <v>1444</v>
      </c>
    </row>
    <row r="285" ht="12.75">
      <c r="A285" s="167" t="s">
        <v>1380</v>
      </c>
      <c r="B285" s="170" t="s">
        <v>1470</v>
      </c>
      <c r="C285" s="171" t="s">
        <v>1471</v>
      </c>
      <c r="D285" s="177" t="s">
        <v>1472</v>
      </c>
      <c r="E285" s="185">
        <v>46079</v>
      </c>
      <c r="F285" s="142" t="s">
        <v>1473</v>
      </c>
      <c r="G285" s="143" t="s">
        <v>1474</v>
      </c>
      <c r="H285" s="144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85" s="145" t="s">
        <v>1475</v>
      </c>
    </row>
    <row r="286" ht="14.25">
      <c r="A286" s="167" t="s">
        <v>1476</v>
      </c>
      <c r="B286" s="186" t="s">
        <v>1477</v>
      </c>
      <c r="C286" s="186" t="s">
        <v>1478</v>
      </c>
      <c r="D286" s="117" t="s">
        <v>1479</v>
      </c>
      <c r="E286" s="118">
        <v>46139</v>
      </c>
      <c r="F286" s="142" t="s">
        <v>1480</v>
      </c>
      <c r="G286" s="143" t="s">
        <v>1481</v>
      </c>
      <c r="H286" s="144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86" s="145" t="s">
        <v>1482</v>
      </c>
    </row>
    <row r="287" ht="14.25">
      <c r="A287" s="167" t="s">
        <v>1476</v>
      </c>
      <c r="B287" s="186" t="s">
        <v>1483</v>
      </c>
      <c r="C287" s="186" t="s">
        <v>1484</v>
      </c>
      <c r="D287" s="117" t="s">
        <v>1485</v>
      </c>
      <c r="E287" s="118">
        <v>46139</v>
      </c>
      <c r="F287" s="142" t="s">
        <v>1486</v>
      </c>
      <c r="G287" s="143" t="s">
        <v>1487</v>
      </c>
      <c r="H287" s="144" t="str">
        <f>HYPERLINK("https://drive.google.com/file/d/1G9QKPmPdPcCthpPrgACkeyu4w5rwfvxz/view?usp=drivesdk","Ms Nilofer Neshat-Computed Tomography")</f>
        <v xml:space="preserve">Ms Nilofer Neshat-Computed Tomography</v>
      </c>
      <c r="I287" s="145" t="s">
        <v>1482</v>
      </c>
    </row>
    <row r="288" ht="14.25">
      <c r="A288" s="167" t="s">
        <v>1476</v>
      </c>
      <c r="B288" s="186" t="s">
        <v>1488</v>
      </c>
      <c r="C288" s="186" t="s">
        <v>1489</v>
      </c>
      <c r="D288" s="117" t="s">
        <v>1490</v>
      </c>
      <c r="E288" s="118">
        <v>46139</v>
      </c>
      <c r="F288" s="142" t="s">
        <v>1491</v>
      </c>
      <c r="G288" s="143" t="s">
        <v>1492</v>
      </c>
      <c r="H288" s="144" t="str">
        <f>HYPERLINK("https://drive.google.com/file/d/1ZVkP0k6MJH1cCPg07_LvhU9COVhn0iEi/view?usp=drivesdk","Mr. Khush Jain-Ultrasonography")</f>
        <v xml:space="preserve">Mr. Khush Jain-Ultrasonography</v>
      </c>
      <c r="I288" s="145" t="s">
        <v>1482</v>
      </c>
    </row>
    <row r="289" ht="14.25">
      <c r="A289" s="167" t="s">
        <v>1476</v>
      </c>
      <c r="B289" s="186" t="s">
        <v>1493</v>
      </c>
      <c r="C289" s="186" t="s">
        <v>1494</v>
      </c>
      <c r="D289" s="117" t="s">
        <v>1495</v>
      </c>
      <c r="E289" s="118">
        <v>46139</v>
      </c>
      <c r="F289" s="142" t="s">
        <v>1496</v>
      </c>
      <c r="G289" s="143" t="s">
        <v>1497</v>
      </c>
      <c r="H289" s="144" t="str">
        <f>HYPERLINK("https://drive.google.com/file/d/1AaG2wdRdwL1Aqc27HH7xX2Jfw0xLS2SQ/view?usp=drivesdk","Ms. Arpita Chakraborty-Radiation safety and protection ")</f>
        <v xml:space="preserve">Ms. Arpita Chakraborty-Radiation safety and protection </v>
      </c>
      <c r="I289" s="145" t="s">
        <v>1482</v>
      </c>
    </row>
    <row r="290" ht="14.25">
      <c r="A290" s="167" t="s">
        <v>1476</v>
      </c>
      <c r="B290" s="186" t="s">
        <v>1498</v>
      </c>
      <c r="C290" s="186" t="s">
        <v>1499</v>
      </c>
      <c r="D290" s="117" t="s">
        <v>1500</v>
      </c>
      <c r="E290" s="118">
        <v>46139</v>
      </c>
      <c r="F290" s="142" t="s">
        <v>1501</v>
      </c>
      <c r="G290" s="143" t="s">
        <v>1502</v>
      </c>
      <c r="H290" s="144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90" s="145" t="s">
        <v>1482</v>
      </c>
    </row>
    <row r="291" ht="14.25">
      <c r="A291" s="167" t="s">
        <v>1476</v>
      </c>
      <c r="B291" s="186" t="s">
        <v>1503</v>
      </c>
      <c r="C291" s="186" t="s">
        <v>1504</v>
      </c>
      <c r="D291" s="117" t="s">
        <v>1505</v>
      </c>
      <c r="E291" s="118">
        <v>46139</v>
      </c>
      <c r="F291" s="142" t="s">
        <v>1506</v>
      </c>
      <c r="G291" s="143" t="s">
        <v>1507</v>
      </c>
      <c r="H291" s="144" t="str">
        <f>HYPERLINK("https://drive.google.com/file/d/1NmILP48QHT-qnQEt8NIRR-w7QtIx8cMh/view?usp=drivesdk","Mr. Lal Ramdinanwe-Radiological Anatomy (T)")</f>
        <v xml:space="preserve">Mr. Lal Ramdinanwe-Radiological Anatomy (T)</v>
      </c>
      <c r="I291" s="145" t="s">
        <v>1508</v>
      </c>
    </row>
    <row r="292" ht="15">
      <c r="A292" s="167" t="s">
        <v>1476</v>
      </c>
      <c r="B292" s="186" t="s">
        <v>1509</v>
      </c>
      <c r="C292" s="186" t="s">
        <v>1510</v>
      </c>
      <c r="D292" s="117" t="s">
        <v>1511</v>
      </c>
      <c r="E292" s="118">
        <v>46139</v>
      </c>
      <c r="F292" s="142" t="s">
        <v>1512</v>
      </c>
      <c r="G292" s="143" t="s">
        <v>1513</v>
      </c>
      <c r="H292" s="144" t="str">
        <f>HYPERLINK("https://drive.google.com/file/d/1uQgquFkcA8JqS4fkGDjj3wlL-A31a5QO/view?usp=drivesdk","Ms. Shrawani Sonewane-Quality control ")</f>
        <v xml:space="preserve">Ms. Shrawani Sonewane-Quality control </v>
      </c>
      <c r="I292" s="145" t="s">
        <v>1508</v>
      </c>
    </row>
    <row r="293" ht="15">
      <c r="A293" s="167" t="s">
        <v>1476</v>
      </c>
      <c r="B293" s="186" t="s">
        <v>1514</v>
      </c>
      <c r="C293" s="186" t="s">
        <v>1515</v>
      </c>
      <c r="D293" s="117" t="s">
        <v>1516</v>
      </c>
      <c r="E293" s="118">
        <v>46139</v>
      </c>
      <c r="F293" s="142" t="s">
        <v>1517</v>
      </c>
      <c r="G293" s="143" t="s">
        <v>1518</v>
      </c>
      <c r="H293" s="144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 </v>
      </c>
      <c r="I293" s="145" t="s">
        <v>1508</v>
      </c>
    </row>
    <row r="294" ht="14.25">
      <c r="A294" s="167" t="s">
        <v>1476</v>
      </c>
      <c r="B294" s="187" t="s">
        <v>1519</v>
      </c>
      <c r="C294" s="187" t="s">
        <v>1520</v>
      </c>
      <c r="D294" s="117" t="s">
        <v>1521</v>
      </c>
      <c r="E294" s="118">
        <v>46139</v>
      </c>
      <c r="F294" s="142" t="s">
        <v>1522</v>
      </c>
      <c r="G294" s="143" t="s">
        <v>1523</v>
      </c>
      <c r="H294" s="144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94" s="145" t="s">
        <v>1508</v>
      </c>
    </row>
    <row r="295" ht="14.25">
      <c r="A295" s="167" t="s">
        <v>1476</v>
      </c>
      <c r="B295" s="186" t="s">
        <v>1524</v>
      </c>
      <c r="C295" s="186" t="s">
        <v>1525</v>
      </c>
      <c r="D295" s="117" t="s">
        <v>1526</v>
      </c>
      <c r="E295" s="118">
        <v>46139</v>
      </c>
      <c r="F295" s="142" t="s">
        <v>1527</v>
      </c>
      <c r="G295" s="143" t="s">
        <v>1528</v>
      </c>
      <c r="H295" s="144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95" s="145" t="s">
        <v>1508</v>
      </c>
    </row>
    <row r="296" ht="15">
      <c r="A296" s="167" t="s">
        <v>1476</v>
      </c>
      <c r="B296" s="186" t="s">
        <v>1529</v>
      </c>
      <c r="C296" s="186" t="s">
        <v>1530</v>
      </c>
      <c r="D296" s="117" t="s">
        <v>1531</v>
      </c>
      <c r="E296" s="118">
        <v>46139</v>
      </c>
      <c r="F296" s="142" t="s">
        <v>1532</v>
      </c>
      <c r="G296" s="143" t="s">
        <v>1533</v>
      </c>
      <c r="H296" s="144" t="str">
        <f>HYPERLINK("https://drive.google.com/file/d/1pcZ84ESvWR91eVOuXVmYCLHFHB17OFZf/view?usp=drivesdk","Mr. Vinay Pathak-Metabolism and Molecular Biology (T) ")</f>
        <v xml:space="preserve">Mr. Vinay Pathak-Metabolism and Molecular Biology (T) </v>
      </c>
      <c r="I296" s="145" t="s">
        <v>1508</v>
      </c>
    </row>
    <row r="297" ht="14.25">
      <c r="A297" s="167" t="s">
        <v>1476</v>
      </c>
      <c r="B297" s="186" t="s">
        <v>1534</v>
      </c>
      <c r="C297" s="186" t="s">
        <v>1535</v>
      </c>
      <c r="D297" s="117" t="s">
        <v>1536</v>
      </c>
      <c r="E297" s="118">
        <v>46139</v>
      </c>
      <c r="F297" s="142" t="s">
        <v>1537</v>
      </c>
      <c r="G297" s="143" t="s">
        <v>1538</v>
      </c>
      <c r="H297" s="144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97" s="145" t="s">
        <v>1508</v>
      </c>
    </row>
    <row r="298" ht="14.25">
      <c r="A298" s="167" t="s">
        <v>1476</v>
      </c>
      <c r="B298" s="188" t="s">
        <v>1539</v>
      </c>
      <c r="C298" s="189" t="s">
        <v>1540</v>
      </c>
      <c r="D298" s="117" t="s">
        <v>1541</v>
      </c>
      <c r="E298" s="118">
        <v>46139</v>
      </c>
      <c r="F298" s="142" t="s">
        <v>1542</v>
      </c>
      <c r="G298" s="143" t="s">
        <v>1543</v>
      </c>
      <c r="H298" s="144" t="str">
        <f>HYPERLINK("https://drive.google.com/file/d/1b1IsPmaD0u5HGNOJDAyxX3QFimOMO_2B/view?usp=drivesdk","Dr.Zeba Shaikh-ANATOMY &amp; PHYSIOLOGY - I ")</f>
        <v xml:space="preserve">Dr.Zeba Shaikh-ANATOMY &amp; PHYSIOLOGY - I </v>
      </c>
      <c r="I298" s="145" t="s">
        <v>1544</v>
      </c>
    </row>
    <row r="299" ht="14.25">
      <c r="A299" s="167" t="s">
        <v>1476</v>
      </c>
      <c r="B299" s="190" t="s">
        <v>1545</v>
      </c>
      <c r="C299" s="191" t="s">
        <v>1546</v>
      </c>
      <c r="D299" s="84" t="s">
        <v>1547</v>
      </c>
      <c r="E299" s="118">
        <v>46140</v>
      </c>
      <c r="F299" s="142" t="s">
        <v>1548</v>
      </c>
      <c r="G299" s="143" t="s">
        <v>1549</v>
      </c>
      <c r="H299" s="144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99" s="145" t="s">
        <v>1550</v>
      </c>
    </row>
    <row r="300" ht="12.75">
      <c r="A300" s="167" t="s">
        <v>1476</v>
      </c>
      <c r="B300" s="192" t="s">
        <v>1551</v>
      </c>
      <c r="C300" s="193" t="s">
        <v>1552</v>
      </c>
      <c r="D300" s="84" t="s">
        <v>1553</v>
      </c>
      <c r="E300" s="118">
        <v>46140</v>
      </c>
      <c r="F300" s="142" t="s">
        <v>1554</v>
      </c>
      <c r="G300" s="143" t="s">
        <v>1555</v>
      </c>
      <c r="H300" s="144" t="str">
        <f>HYPERLINK("https://drive.google.com/file/d/1XDMaegmSUtyPXioSG-I5UvONU_6FoBGt/view?usp=drivesdk","Ms. Bhakti Vyas-Ethics and Human Values")</f>
        <v xml:space="preserve">Ms. Bhakti Vyas-Ethics and Human Values</v>
      </c>
      <c r="I300" s="145" t="s">
        <v>1556</v>
      </c>
    </row>
    <row r="301" ht="14.25">
      <c r="A301" s="194" t="s">
        <v>15</v>
      </c>
      <c r="B301" s="186" t="s">
        <v>1557</v>
      </c>
      <c r="C301" s="195" t="s">
        <v>1558</v>
      </c>
      <c r="D301" s="84" t="s">
        <v>465</v>
      </c>
      <c r="E301" s="118">
        <v>46140</v>
      </c>
      <c r="F301" s="142" t="s">
        <v>1559</v>
      </c>
      <c r="G301" s="143" t="s">
        <v>1560</v>
      </c>
      <c r="H301" s="144" t="str">
        <f>HYPERLINK("https://drive.google.com/file/d/1EElqmzN71SlQJz7LrqJrMxC1Pzwgo5AW/view?usp=drivesdk","Ms. Pratistha Rajvanshi -Visual Optics")</f>
        <v xml:space="preserve">Ms. Pratistha Rajvanshi -Visual Optics</v>
      </c>
      <c r="I301" s="145" t="s">
        <v>1561</v>
      </c>
    </row>
    <row r="302" ht="14.25">
      <c r="A302" s="194" t="s">
        <v>15</v>
      </c>
      <c r="B302" s="186" t="s">
        <v>1562</v>
      </c>
      <c r="C302" s="195" t="s">
        <v>1563</v>
      </c>
      <c r="D302" s="84" t="s">
        <v>1564</v>
      </c>
      <c r="E302" s="118">
        <v>46140</v>
      </c>
      <c r="F302" s="142" t="s">
        <v>1565</v>
      </c>
      <c r="G302" s="143" t="s">
        <v>1566</v>
      </c>
      <c r="H302" s="144" t="str">
        <f>HYPERLINK("https://drive.google.com/file/d/1S1qSd2xGA9aoTlten9wmsQkqd5fWaWSA/view?usp=drivesdk","Mr. Rohan Kalita-Contact Lens (T)")</f>
        <v xml:space="preserve">Mr. Rohan Kalita-Contact Lens (T)</v>
      </c>
      <c r="I302" s="145" t="s">
        <v>1561</v>
      </c>
    </row>
    <row r="303" ht="14.25">
      <c r="A303" s="194" t="s">
        <v>15</v>
      </c>
      <c r="B303" s="186" t="s">
        <v>1567</v>
      </c>
      <c r="C303" s="195" t="s">
        <v>1568</v>
      </c>
      <c r="D303" s="84" t="s">
        <v>1569</v>
      </c>
      <c r="E303" s="118">
        <v>46140</v>
      </c>
      <c r="F303" s="142" t="s">
        <v>1570</v>
      </c>
      <c r="G303" s="143" t="s">
        <v>1571</v>
      </c>
      <c r="H303" s="144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303" s="145" t="s">
        <v>1561</v>
      </c>
    </row>
    <row r="304" ht="14.25">
      <c r="A304" s="194" t="s">
        <v>15</v>
      </c>
      <c r="B304" s="186" t="s">
        <v>1572</v>
      </c>
      <c r="C304" s="195" t="s">
        <v>1573</v>
      </c>
      <c r="D304" s="84" t="s">
        <v>1574</v>
      </c>
      <c r="E304" s="118">
        <v>46140</v>
      </c>
      <c r="F304" s="142" t="s">
        <v>1575</v>
      </c>
      <c r="G304" s="143" t="s">
        <v>1576</v>
      </c>
      <c r="H304" s="144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304" s="145" t="s">
        <v>1561</v>
      </c>
    </row>
    <row r="305" ht="14.25">
      <c r="A305" s="194" t="s">
        <v>15</v>
      </c>
      <c r="B305" s="186" t="s">
        <v>1557</v>
      </c>
      <c r="C305" s="195" t="s">
        <v>1577</v>
      </c>
      <c r="D305" s="84" t="s">
        <v>1578</v>
      </c>
      <c r="E305" s="118">
        <v>46140</v>
      </c>
      <c r="F305" s="142" t="s">
        <v>1579</v>
      </c>
      <c r="G305" s="143" t="s">
        <v>1580</v>
      </c>
      <c r="H305" s="144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305" s="145" t="s">
        <v>1561</v>
      </c>
    </row>
    <row r="306" ht="14.25">
      <c r="A306" s="194" t="s">
        <v>15</v>
      </c>
      <c r="B306" s="196" t="s">
        <v>1581</v>
      </c>
      <c r="C306" s="189" t="s">
        <v>1582</v>
      </c>
      <c r="D306" s="84" t="s">
        <v>1583</v>
      </c>
      <c r="E306" s="118">
        <v>46140</v>
      </c>
      <c r="F306" s="142" t="s">
        <v>1584</v>
      </c>
      <c r="G306" s="143" t="s">
        <v>1585</v>
      </c>
      <c r="H306" s="144" t="str">
        <f>HYPERLINK("https://drive.google.com/file/d/1EoibY38ZlxkFWIwiN1NANbVzoNEm11fl/view?usp=drivesdk","Mr. Arpit Trivedi -Low Vision (T) ")</f>
        <v xml:space="preserve">Mr. Arpit Trivedi -Low Vision (T) </v>
      </c>
      <c r="I306" s="145" t="s">
        <v>1586</v>
      </c>
    </row>
    <row r="307" ht="14.25">
      <c r="A307" s="194" t="s">
        <v>15</v>
      </c>
      <c r="B307" s="186" t="s">
        <v>1587</v>
      </c>
      <c r="C307" s="195" t="s">
        <v>1588</v>
      </c>
      <c r="D307" s="84" t="s">
        <v>1589</v>
      </c>
      <c r="E307" s="118">
        <v>46140</v>
      </c>
      <c r="F307" s="142" t="s">
        <v>1590</v>
      </c>
      <c r="G307" s="143" t="s">
        <v>1591</v>
      </c>
      <c r="H307" s="144" t="str">
        <f>HYPERLINK("https://drive.google.com/file/d/1EORJNG1zLwCkP7ui7VBCUzojNfbmxqMj/view?usp=drivesdk","Ms. Sushrita Mahadani -Systemic Diseas (T)")</f>
        <v xml:space="preserve">Ms. Sushrita Mahadani -Systemic Diseas (T)</v>
      </c>
      <c r="I307" s="145" t="s">
        <v>1586</v>
      </c>
    </row>
    <row r="308" ht="14.25">
      <c r="A308" s="194" t="s">
        <v>15</v>
      </c>
      <c r="B308" s="186" t="s">
        <v>1592</v>
      </c>
      <c r="C308" s="195" t="s">
        <v>1593</v>
      </c>
      <c r="D308" s="84" t="s">
        <v>1594</v>
      </c>
      <c r="E308" s="118">
        <v>46140</v>
      </c>
      <c r="F308" s="142" t="s">
        <v>1595</v>
      </c>
      <c r="G308" s="143" t="s">
        <v>1596</v>
      </c>
      <c r="H308" s="144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308" s="145" t="s">
        <v>1586</v>
      </c>
    </row>
    <row r="309" ht="14.25">
      <c r="A309" s="194" t="s">
        <v>15</v>
      </c>
      <c r="B309" s="186" t="s">
        <v>1597</v>
      </c>
      <c r="C309" s="195" t="s">
        <v>1598</v>
      </c>
      <c r="D309" s="84" t="s">
        <v>1599</v>
      </c>
      <c r="E309" s="118">
        <v>46140</v>
      </c>
      <c r="F309" s="142" t="s">
        <v>1600</v>
      </c>
      <c r="G309" s="143" t="s">
        <v>1601</v>
      </c>
      <c r="H309" s="144" t="str">
        <f>HYPERLINK("https://drive.google.com/file/d/1LjyGGpS45Ll96FS3lrngkOIgpWxOk9Nu/view?usp=drivesdk","MS. JYOTI AGARWAL-Echocardiography - (T)")</f>
        <v xml:space="preserve">MS. JYOTI AGARWAL-Echocardiography - (T)</v>
      </c>
      <c r="I309" s="145" t="s">
        <v>1586</v>
      </c>
    </row>
    <row r="310" ht="14.25">
      <c r="A310" s="194" t="s">
        <v>15</v>
      </c>
      <c r="B310" s="186" t="s">
        <v>1602</v>
      </c>
      <c r="C310" s="195" t="s">
        <v>1603</v>
      </c>
      <c r="D310" s="84" t="s">
        <v>1604</v>
      </c>
      <c r="E310" s="118">
        <v>46140</v>
      </c>
      <c r="F310" s="142" t="s">
        <v>1605</v>
      </c>
      <c r="G310" s="143" t="s">
        <v>1606</v>
      </c>
      <c r="H310" s="144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310" s="145" t="s">
        <v>1586</v>
      </c>
    </row>
    <row r="311" ht="14.25">
      <c r="A311" s="194" t="s">
        <v>15</v>
      </c>
      <c r="B311" s="186" t="s">
        <v>1607</v>
      </c>
      <c r="C311" s="189" t="s">
        <v>1608</v>
      </c>
      <c r="D311" s="84" t="s">
        <v>1609</v>
      </c>
      <c r="E311" s="118">
        <v>46140</v>
      </c>
      <c r="F311" s="142" t="s">
        <v>1610</v>
      </c>
      <c r="G311" s="143" t="s">
        <v>1611</v>
      </c>
      <c r="H311" s="144" t="str">
        <f>HYPERLINK("https://drive.google.com/file/d/1MRq0lnKJkaCW0O3Y1bwOs_wR1DVUX7fM/view?usp=drivesdk","MR.WALTER URONU-Electrocardiogram (T)")</f>
        <v xml:space="preserve">MR.WALTER URONU-Electrocardiogram (T)</v>
      </c>
      <c r="I311" s="145" t="s">
        <v>1586</v>
      </c>
    </row>
    <row r="312" ht="14.25">
      <c r="A312" s="194" t="s">
        <v>15</v>
      </c>
      <c r="B312" s="186" t="s">
        <v>1612</v>
      </c>
      <c r="C312" s="195" t="s">
        <v>1613</v>
      </c>
      <c r="D312" s="84" t="s">
        <v>1614</v>
      </c>
      <c r="E312" s="118">
        <v>46140</v>
      </c>
      <c r="F312" s="142" t="s">
        <v>1615</v>
      </c>
      <c r="G312" s="143" t="s">
        <v>1616</v>
      </c>
      <c r="H312" s="144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312" s="145" t="s">
        <v>1617</v>
      </c>
    </row>
    <row r="313" ht="14.25">
      <c r="A313" s="194" t="s">
        <v>15</v>
      </c>
      <c r="B313" s="186" t="s">
        <v>1618</v>
      </c>
      <c r="C313" s="195" t="s">
        <v>1619</v>
      </c>
      <c r="D313" s="84" t="s">
        <v>1620</v>
      </c>
      <c r="E313" s="118">
        <v>46140</v>
      </c>
      <c r="F313" s="142" t="s">
        <v>1621</v>
      </c>
      <c r="G313" s="143" t="s">
        <v>1622</v>
      </c>
      <c r="H313" s="144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313" s="145" t="s">
        <v>1617</v>
      </c>
    </row>
    <row r="314" ht="14.25">
      <c r="A314" s="194" t="s">
        <v>15</v>
      </c>
      <c r="B314" s="186" t="s">
        <v>1623</v>
      </c>
      <c r="C314" s="189" t="s">
        <v>1624</v>
      </c>
      <c r="D314" s="84" t="s">
        <v>1625</v>
      </c>
      <c r="E314" s="118">
        <v>46140</v>
      </c>
      <c r="F314" s="142" t="s">
        <v>1626</v>
      </c>
      <c r="G314" s="143" t="s">
        <v>1627</v>
      </c>
      <c r="H314" s="144" t="str">
        <f>HYPERLINK("https://drive.google.com/file/d/1NwHGrDGAPiXcXXisyBKqiMA5lvkfHEN3/view?usp=drivesdk","MS.LEKHA-Paper 4: Cardiac Diagnostic Methodologies(T) ")</f>
        <v xml:space="preserve">MS.LEKHA-Paper 4: Cardiac Diagnostic Methodologies(T) </v>
      </c>
      <c r="I314" s="145" t="s">
        <v>1617</v>
      </c>
    </row>
    <row r="315" ht="14.25">
      <c r="A315" s="194" t="s">
        <v>15</v>
      </c>
      <c r="B315" s="186" t="s">
        <v>1628</v>
      </c>
      <c r="C315" s="197" t="s">
        <v>1629</v>
      </c>
      <c r="D315" s="84" t="s">
        <v>1630</v>
      </c>
      <c r="E315" s="118">
        <v>46140</v>
      </c>
      <c r="F315" s="142" t="s">
        <v>1631</v>
      </c>
      <c r="G315" s="143" t="s">
        <v>1632</v>
      </c>
      <c r="H315" s="144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315" s="145" t="s">
        <v>1617</v>
      </c>
    </row>
    <row r="316" ht="14.25">
      <c r="A316" s="194" t="s">
        <v>15</v>
      </c>
      <c r="B316" s="198" t="s">
        <v>1633</v>
      </c>
      <c r="C316" s="199" t="s">
        <v>1634</v>
      </c>
      <c r="D316" s="84" t="s">
        <v>1635</v>
      </c>
      <c r="E316" s="118">
        <v>46140</v>
      </c>
      <c r="F316" s="142" t="s">
        <v>1636</v>
      </c>
      <c r="G316" s="143" t="s">
        <v>1637</v>
      </c>
      <c r="H316" s="144" t="str">
        <f>HYPERLINK("https://drive.google.com/file/d/1_9W9SiqGVxm4rgU1wmsWTzoBAW5etXoR/view?usp=drivesdk","MS.SUSMITA BHAKT-Cardiac Catheterization (T)")</f>
        <v xml:space="preserve">MS.SUSMITA BHAKT-Cardiac Catheterization (T)</v>
      </c>
      <c r="I316" s="145" t="s">
        <v>1617</v>
      </c>
    </row>
    <row r="317" ht="14.25">
      <c r="A317" s="194" t="s">
        <v>15</v>
      </c>
      <c r="B317" s="200" t="s">
        <v>1638</v>
      </c>
      <c r="C317" s="201" t="s">
        <v>869</v>
      </c>
      <c r="D317" s="84" t="s">
        <v>1639</v>
      </c>
      <c r="E317" s="202">
        <v>46140</v>
      </c>
      <c r="F317" s="203"/>
      <c r="G317" s="203"/>
      <c r="H317" s="203"/>
      <c r="I317" s="204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7"/>
    <hyperlink r:id="rId287" ref="G288"/>
    <hyperlink r:id="rId288" ref="G289"/>
    <hyperlink r:id="rId289" ref="G290"/>
    <hyperlink r:id="rId290" ref="G291"/>
    <hyperlink r:id="rId291" ref="G292"/>
    <hyperlink r:id="rId292" ref="G293"/>
    <hyperlink r:id="rId293" ref="G294"/>
    <hyperlink r:id="rId294" ref="G295"/>
    <hyperlink r:id="rId295" ref="G296"/>
    <hyperlink r:id="rId296" ref="G297"/>
    <hyperlink r:id="rId297" ref="G298"/>
    <hyperlink r:id="rId298" ref="G299"/>
    <hyperlink r:id="rId299" ref="G300"/>
    <hyperlink r:id="rId300" ref="G301"/>
    <hyperlink r:id="rId301" ref="G302"/>
    <hyperlink r:id="rId302" ref="G303"/>
    <hyperlink r:id="rId303" ref="G304"/>
    <hyperlink r:id="rId304" ref="G305"/>
    <hyperlink r:id="rId305" ref="G306"/>
    <hyperlink r:id="rId306" ref="G307"/>
    <hyperlink r:id="rId307" ref="G308"/>
    <hyperlink r:id="rId308" ref="G309"/>
    <hyperlink r:id="rId309" ref="G310"/>
    <hyperlink r:id="rId310" ref="G311"/>
    <hyperlink r:id="rId311" ref="G312"/>
    <hyperlink r:id="rId312" ref="G313"/>
    <hyperlink r:id="rId313" ref="G314"/>
    <hyperlink r:id="rId314" ref="G315"/>
    <hyperlink r:id="rId315" ref="G316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4" zoomScale="100" workbookViewId="0">
      <selection activeCell="A1" activeCellId="0" sqref="A1"/>
    </sheetView>
  </sheetViews>
  <sheetFormatPr defaultRowHeight="12.75"/>
  <cols>
    <col bestFit="1" min="1" max="1" width="17.00390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12.75">
      <c r="A1" s="1" t="s">
        <v>0</v>
      </c>
      <c r="B1" s="2" t="s">
        <v>1640</v>
      </c>
      <c r="C1" s="2" t="s">
        <v>1641</v>
      </c>
      <c r="D1" s="2" t="s">
        <v>2</v>
      </c>
      <c r="E1" s="2" t="s">
        <v>3</v>
      </c>
      <c r="F1" s="2" t="s">
        <v>4</v>
      </c>
      <c r="G1" s="3" t="s">
        <v>1642</v>
      </c>
      <c r="H1" s="3" t="s">
        <v>1643</v>
      </c>
      <c r="I1" s="3" t="s">
        <v>1644</v>
      </c>
      <c r="J1" s="4" t="s">
        <v>1645</v>
      </c>
    </row>
    <row r="2" ht="16.5">
      <c r="A2" s="205" t="s">
        <v>941</v>
      </c>
      <c r="B2" s="206" t="s">
        <v>1646</v>
      </c>
      <c r="C2" s="207" t="s">
        <v>1647</v>
      </c>
      <c r="D2" s="208" t="s">
        <v>1648</v>
      </c>
      <c r="E2" s="136" t="s">
        <v>1649</v>
      </c>
      <c r="F2" s="130">
        <v>46055</v>
      </c>
      <c r="G2" s="207" t="s">
        <v>1650</v>
      </c>
      <c r="H2" s="209" t="s">
        <v>1651</v>
      </c>
      <c r="I2" s="210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211" t="s">
        <v>1652</v>
      </c>
      <c r="K2" s="212"/>
      <c r="L2" s="213"/>
    </row>
    <row r="3" ht="16.5">
      <c r="A3" s="214" t="s">
        <v>1380</v>
      </c>
      <c r="B3" s="170" t="s">
        <v>1653</v>
      </c>
      <c r="C3" s="215" t="s">
        <v>1413</v>
      </c>
      <c r="D3" s="171" t="s">
        <v>1654</v>
      </c>
      <c r="E3" s="216" t="s">
        <v>1467</v>
      </c>
      <c r="F3" s="217">
        <v>46079</v>
      </c>
      <c r="G3" s="215" t="s">
        <v>1655</v>
      </c>
      <c r="H3" s="218" t="s">
        <v>1656</v>
      </c>
      <c r="I3" s="219" t="str">
        <f>HYPERLINK("https://drive.google.com/file/d/1RK4IQtEFiw81JG91LxPSTWPMud5keKs4/view?usp=drivesdk","School and Educational Psychology")</f>
        <v xml:space="preserve">School and Educational Psychology</v>
      </c>
      <c r="J3" s="220" t="s">
        <v>1657</v>
      </c>
      <c r="K3" s="212"/>
      <c r="L3" s="213"/>
    </row>
    <row r="4" ht="12.75">
      <c r="A4" s="21" t="s">
        <v>1658</v>
      </c>
      <c r="B4" s="221" t="s">
        <v>1659</v>
      </c>
      <c r="C4" s="221" t="s">
        <v>1660</v>
      </c>
      <c r="D4" s="221" t="s">
        <v>1661</v>
      </c>
      <c r="E4" s="222" t="s">
        <v>1662</v>
      </c>
      <c r="F4" s="223">
        <v>45986</v>
      </c>
      <c r="G4" s="221" t="s">
        <v>1663</v>
      </c>
      <c r="H4" s="224" t="s">
        <v>1664</v>
      </c>
      <c r="I4" s="225" t="str">
        <f>HYPERLINK("https://drive.google.com/file/d/1vZeqDw02dpKrjC_ukelcdjyR-CfxCcLs/view?usp=drivesdk","AI &amp; ML na")</f>
        <v xml:space="preserve">AI &amp; ML na</v>
      </c>
      <c r="J4" s="226" t="s">
        <v>1665</v>
      </c>
      <c r="K4" s="212"/>
      <c r="L4" s="213"/>
    </row>
    <row r="5" ht="12.75">
      <c r="A5" s="21" t="s">
        <v>1658</v>
      </c>
      <c r="B5" s="221" t="s">
        <v>1666</v>
      </c>
      <c r="C5" s="221" t="s">
        <v>1667</v>
      </c>
      <c r="D5" s="221" t="s">
        <v>1668</v>
      </c>
      <c r="E5" s="222" t="s">
        <v>1669</v>
      </c>
      <c r="F5" s="223">
        <v>46013</v>
      </c>
      <c r="G5" s="221" t="s">
        <v>1670</v>
      </c>
      <c r="H5" s="224" t="s">
        <v>1671</v>
      </c>
      <c r="I5" s="225" t="str">
        <f>HYPERLINK("https://drive.google.com/file/d/1BMtSJPBpgnqSwN1lKXQWOEEyilpxkwOd/view?usp=drivesdk","CSF")</f>
        <v>CSF</v>
      </c>
      <c r="J5" s="226" t="s">
        <v>1665</v>
      </c>
      <c r="K5" s="212"/>
      <c r="L5" s="213"/>
    </row>
    <row r="6" ht="12.75">
      <c r="A6" s="21" t="s">
        <v>1658</v>
      </c>
      <c r="B6" s="221" t="s">
        <v>1672</v>
      </c>
      <c r="C6" s="221" t="s">
        <v>1673</v>
      </c>
      <c r="D6" s="221" t="s">
        <v>1674</v>
      </c>
      <c r="E6" s="222" t="s">
        <v>1675</v>
      </c>
      <c r="F6" s="223">
        <v>45986</v>
      </c>
      <c r="G6" s="221" t="s">
        <v>1676</v>
      </c>
      <c r="H6" s="224" t="s">
        <v>1677</v>
      </c>
      <c r="I6" s="225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226" t="s">
        <v>1665</v>
      </c>
      <c r="K6" s="212"/>
      <c r="L6" s="213"/>
    </row>
    <row r="7" ht="12.75">
      <c r="A7" s="21" t="s">
        <v>1658</v>
      </c>
      <c r="B7" s="221" t="s">
        <v>1678</v>
      </c>
      <c r="C7" s="221" t="s">
        <v>1679</v>
      </c>
      <c r="D7" s="221" t="s">
        <v>1680</v>
      </c>
      <c r="E7" s="222" t="s">
        <v>1681</v>
      </c>
      <c r="F7" s="223">
        <v>45986</v>
      </c>
      <c r="G7" s="221" t="s">
        <v>1682</v>
      </c>
      <c r="H7" s="224" t="s">
        <v>1683</v>
      </c>
      <c r="I7" s="225" t="str">
        <f>HYPERLINK("https://drive.google.com/file/d/1y-jw_X0r3RMBdef7hZHcPcoedZzlqi5Z/view?usp=drivesdk","Core 2 - Fundamentals of Web Development")</f>
        <v xml:space="preserve">Core 2 - Fundamentals of Web Development</v>
      </c>
      <c r="J7" s="226" t="s">
        <v>1665</v>
      </c>
      <c r="K7" s="212"/>
      <c r="L7" s="213"/>
    </row>
    <row r="8" ht="12.75">
      <c r="A8" s="21" t="s">
        <v>1658</v>
      </c>
      <c r="B8" s="221" t="s">
        <v>1684</v>
      </c>
      <c r="C8" s="221" t="s">
        <v>1685</v>
      </c>
      <c r="D8" s="221" t="s">
        <v>1686</v>
      </c>
      <c r="E8" s="222" t="s">
        <v>1687</v>
      </c>
      <c r="F8" s="223">
        <v>46013</v>
      </c>
      <c r="G8" s="221" t="s">
        <v>1688</v>
      </c>
      <c r="H8" s="224" t="s">
        <v>1689</v>
      </c>
      <c r="I8" s="225" t="str">
        <f>HYPERLINK("https://drive.google.com/file/d/1VNlma5pkuRrBgpv91x8iW6mZmmxw3MQ5/view?usp=drivesdk","AI &amp; ML")</f>
        <v xml:space="preserve">AI &amp; ML</v>
      </c>
      <c r="J8" s="226" t="s">
        <v>1665</v>
      </c>
      <c r="K8" s="212"/>
      <c r="L8" s="213"/>
    </row>
    <row r="9" ht="12.75">
      <c r="A9" s="21" t="s">
        <v>1658</v>
      </c>
      <c r="B9" s="221" t="s">
        <v>1690</v>
      </c>
      <c r="C9" s="221" t="s">
        <v>1691</v>
      </c>
      <c r="D9" s="221" t="s">
        <v>1668</v>
      </c>
      <c r="E9" s="222" t="s">
        <v>1692</v>
      </c>
      <c r="F9" s="223">
        <v>45986</v>
      </c>
      <c r="G9" s="221" t="s">
        <v>1693</v>
      </c>
      <c r="H9" s="224" t="s">
        <v>1694</v>
      </c>
      <c r="I9" s="225" t="str">
        <f>HYPERLINK("https://drive.google.com/file/d/11RQIpvK8U4tF8vxfiLafwr2SoaA-_EJO/view?usp=drivesdk","CSF")</f>
        <v>CSF</v>
      </c>
      <c r="J9" s="226" t="s">
        <v>1665</v>
      </c>
      <c r="K9" s="212"/>
      <c r="L9" s="213"/>
    </row>
    <row r="10" ht="12.75">
      <c r="A10" s="21" t="s">
        <v>1658</v>
      </c>
      <c r="B10" s="221" t="s">
        <v>1695</v>
      </c>
      <c r="C10" s="221" t="s">
        <v>1696</v>
      </c>
      <c r="D10" s="221" t="s">
        <v>1697</v>
      </c>
      <c r="E10" s="222" t="s">
        <v>1698</v>
      </c>
      <c r="F10" s="223">
        <v>45986</v>
      </c>
      <c r="G10" s="221" t="s">
        <v>1699</v>
      </c>
      <c r="H10" s="224" t="s">
        <v>1700</v>
      </c>
      <c r="I10" s="225" t="str">
        <f>HYPERLINK("https://drive.google.com/file/d/1E2ThvZa6uYZDQxF4irUhYQUKPhO2rqJo/view?usp=drivesdk","Core 2 - Digital Electronics ")</f>
        <v xml:space="preserve">Core 2 - Digital Electronics </v>
      </c>
      <c r="J10" s="226" t="s">
        <v>1701</v>
      </c>
      <c r="K10" s="212"/>
      <c r="L10" s="213"/>
    </row>
    <row r="11" ht="19.5">
      <c r="A11" s="21" t="s">
        <v>1658</v>
      </c>
      <c r="B11" s="221" t="s">
        <v>1702</v>
      </c>
      <c r="C11" s="221" t="s">
        <v>1703</v>
      </c>
      <c r="D11" s="221" t="s">
        <v>1704</v>
      </c>
      <c r="E11" s="222" t="s">
        <v>1705</v>
      </c>
      <c r="F11" s="223">
        <v>45986</v>
      </c>
      <c r="G11" s="221" t="s">
        <v>1706</v>
      </c>
      <c r="H11" s="224" t="s">
        <v>1707</v>
      </c>
      <c r="I11" s="225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226" t="s">
        <v>1701</v>
      </c>
      <c r="K11" s="212"/>
      <c r="L11" s="213"/>
    </row>
    <row r="12" ht="12.75">
      <c r="A12" s="21" t="s">
        <v>1658</v>
      </c>
      <c r="B12" s="221" t="s">
        <v>1708</v>
      </c>
      <c r="C12" s="221" t="s">
        <v>1709</v>
      </c>
      <c r="D12" s="221" t="s">
        <v>1710</v>
      </c>
      <c r="E12" s="222" t="s">
        <v>1711</v>
      </c>
      <c r="F12" s="223">
        <v>45986</v>
      </c>
      <c r="G12" s="221" t="s">
        <v>1712</v>
      </c>
      <c r="H12" s="224" t="s">
        <v>1713</v>
      </c>
      <c r="I12" s="225" t="str">
        <f>HYPERLINK("https://drive.google.com/file/d/1crWestL81Jz9Inhum9EU1dv8npLyZeNs/view?usp=drivesdk","Core 3 - Database Management Systems ")</f>
        <v xml:space="preserve">Core 3 - Database Management Systems </v>
      </c>
      <c r="J12" s="226" t="s">
        <v>1701</v>
      </c>
      <c r="K12" s="212"/>
      <c r="L12" s="213"/>
    </row>
    <row r="13" ht="12.75">
      <c r="A13" s="21" t="s">
        <v>1658</v>
      </c>
      <c r="B13" s="221" t="s">
        <v>1714</v>
      </c>
      <c r="C13" s="221" t="s">
        <v>1715</v>
      </c>
      <c r="D13" s="221" t="s">
        <v>1716</v>
      </c>
      <c r="E13" s="222" t="s">
        <v>1717</v>
      </c>
      <c r="F13" s="223">
        <v>45986</v>
      </c>
      <c r="G13" s="221" t="s">
        <v>1718</v>
      </c>
      <c r="H13" s="224" t="s">
        <v>1719</v>
      </c>
      <c r="I13" s="225" t="str">
        <f>HYPERLINK("https://drive.google.com/file/d/15J5FSzphvwLqaWpKgc0l7RAuqQwM9RgR/view?usp=drivesdk","Core 4 - System Analysis and Design ")</f>
        <v xml:space="preserve">Core 4 - System Analysis and Design </v>
      </c>
      <c r="J13" s="226" t="s">
        <v>1701</v>
      </c>
      <c r="K13" s="212"/>
      <c r="L13" s="213"/>
    </row>
    <row r="14" ht="12.75">
      <c r="A14" s="21" t="s">
        <v>1658</v>
      </c>
      <c r="B14" s="221" t="s">
        <v>1720</v>
      </c>
      <c r="C14" s="221" t="s">
        <v>1721</v>
      </c>
      <c r="D14" s="221" t="s">
        <v>1722</v>
      </c>
      <c r="E14" s="222" t="s">
        <v>1723</v>
      </c>
      <c r="F14" s="223">
        <v>45986</v>
      </c>
      <c r="G14" s="221" t="s">
        <v>1724</v>
      </c>
      <c r="H14" s="224" t="s">
        <v>1725</v>
      </c>
      <c r="I14" s="225" t="str">
        <f>HYPERLINK("https://drive.google.com/file/d/1vwhsk2Qnn1f7zOXjThHweIhgNtvu_v1y/view?usp=drivesdk","R-programming ")</f>
        <v xml:space="preserve">R-programming </v>
      </c>
      <c r="J14" s="226" t="s">
        <v>1701</v>
      </c>
      <c r="K14" s="212"/>
      <c r="L14" s="213"/>
    </row>
    <row r="15" ht="12.75">
      <c r="A15" s="21" t="s">
        <v>1658</v>
      </c>
      <c r="B15" s="221" t="s">
        <v>1726</v>
      </c>
      <c r="C15" s="221" t="s">
        <v>1727</v>
      </c>
      <c r="D15" s="221" t="s">
        <v>1728</v>
      </c>
      <c r="E15" s="222" t="s">
        <v>1729</v>
      </c>
      <c r="F15" s="223">
        <v>45986</v>
      </c>
      <c r="G15" s="221" t="s">
        <v>1730</v>
      </c>
      <c r="H15" s="224" t="s">
        <v>1731</v>
      </c>
      <c r="I15" s="225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226" t="s">
        <v>1701</v>
      </c>
      <c r="K15" s="212"/>
      <c r="L15" s="213"/>
    </row>
    <row r="16" ht="12.75">
      <c r="A16" s="21" t="s">
        <v>1658</v>
      </c>
      <c r="B16" s="221" t="s">
        <v>1732</v>
      </c>
      <c r="C16" s="221" t="s">
        <v>1733</v>
      </c>
      <c r="D16" s="221" t="s">
        <v>1734</v>
      </c>
      <c r="E16" s="222" t="s">
        <v>1735</v>
      </c>
      <c r="F16" s="223">
        <v>45986</v>
      </c>
      <c r="G16" s="221" t="s">
        <v>1736</v>
      </c>
      <c r="H16" s="224" t="s">
        <v>1737</v>
      </c>
      <c r="I16" s="225" t="str">
        <f>HYPERLINK("https://drive.google.com/file/d/1yV_baoi4hN96V3uJtI74rnF1JxZkb4Hl/view?usp=drivesdk","Core 6 - Data Structure ")</f>
        <v xml:space="preserve">Core 6 - Data Structure </v>
      </c>
      <c r="J16" s="226" t="s">
        <v>1738</v>
      </c>
      <c r="K16" s="212"/>
      <c r="L16" s="213"/>
    </row>
    <row r="17" ht="12.75">
      <c r="A17" s="21" t="s">
        <v>1658</v>
      </c>
      <c r="B17" s="221" t="s">
        <v>1739</v>
      </c>
      <c r="C17" s="221" t="s">
        <v>1740</v>
      </c>
      <c r="D17" s="221" t="s">
        <v>1741</v>
      </c>
      <c r="E17" s="222" t="s">
        <v>1742</v>
      </c>
      <c r="F17" s="223">
        <v>45986</v>
      </c>
      <c r="G17" s="221" t="s">
        <v>1743</v>
      </c>
      <c r="H17" s="224" t="s">
        <v>1744</v>
      </c>
      <c r="I17" s="225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226" t="s">
        <v>1738</v>
      </c>
      <c r="K17" s="212"/>
      <c r="L17" s="213"/>
    </row>
    <row r="18" ht="12.75">
      <c r="A18" s="21" t="s">
        <v>1658</v>
      </c>
      <c r="B18" s="221" t="s">
        <v>1745</v>
      </c>
      <c r="C18" s="221" t="s">
        <v>1746</v>
      </c>
      <c r="D18" s="221" t="s">
        <v>1686</v>
      </c>
      <c r="E18" s="222" t="s">
        <v>1747</v>
      </c>
      <c r="F18" s="223">
        <v>45986</v>
      </c>
      <c r="G18" s="221" t="s">
        <v>1748</v>
      </c>
      <c r="H18" s="224" t="s">
        <v>1749</v>
      </c>
      <c r="I18" s="225" t="str">
        <f>HYPERLINK("https://drive.google.com/file/d/1alQ0qCBNaTjN7MjdPwFwV_xn0rS9iZiZ/view?usp=drivesdk","AI &amp; ML")</f>
        <v xml:space="preserve">AI &amp; ML</v>
      </c>
      <c r="J18" s="226" t="s">
        <v>1738</v>
      </c>
      <c r="K18" s="212"/>
      <c r="L18" s="213"/>
    </row>
    <row r="19" ht="12.75">
      <c r="A19" s="21" t="s">
        <v>1658</v>
      </c>
      <c r="B19" s="221" t="s">
        <v>1690</v>
      </c>
      <c r="C19" s="221" t="s">
        <v>1750</v>
      </c>
      <c r="D19" s="221" t="s">
        <v>1668</v>
      </c>
      <c r="E19" s="222" t="s">
        <v>1751</v>
      </c>
      <c r="F19" s="223">
        <v>45986</v>
      </c>
      <c r="G19" s="221" t="s">
        <v>1752</v>
      </c>
      <c r="H19" s="224" t="s">
        <v>1753</v>
      </c>
      <c r="I19" s="225" t="str">
        <f>HYPERLINK("https://drive.google.com/file/d/1ukt74oSwZDMrgvg9stwm5Snlpmro3Gng/view?usp=drivesdk","CSF")</f>
        <v>CSF</v>
      </c>
      <c r="J19" s="226" t="s">
        <v>1738</v>
      </c>
      <c r="K19" s="212"/>
      <c r="L19" s="213"/>
    </row>
    <row r="20" ht="12.75">
      <c r="A20" s="21" t="s">
        <v>1658</v>
      </c>
      <c r="B20" s="221" t="s">
        <v>1696</v>
      </c>
      <c r="C20" s="221" t="s">
        <v>1754</v>
      </c>
      <c r="D20" s="221" t="s">
        <v>1755</v>
      </c>
      <c r="E20" s="222" t="s">
        <v>1756</v>
      </c>
      <c r="F20" s="223">
        <v>45986</v>
      </c>
      <c r="G20" s="221" t="s">
        <v>1757</v>
      </c>
      <c r="H20" s="224" t="s">
        <v>1758</v>
      </c>
      <c r="I20" s="225" t="str">
        <f>HYPERLINK("https://drive.google.com/file/d/1csEENhS50ik59LdBU4y3oaZBTC6X9YGL/view?usp=drivesdk","Core-8- Data Communication and Networking ")</f>
        <v xml:space="preserve">Core-8- Data Communication and Networking </v>
      </c>
      <c r="J20" s="226" t="s">
        <v>1738</v>
      </c>
      <c r="K20" s="212"/>
      <c r="L20" s="213"/>
    </row>
    <row r="21" ht="12.75">
      <c r="A21" s="21" t="s">
        <v>1658</v>
      </c>
      <c r="B21" s="221" t="s">
        <v>1759</v>
      </c>
      <c r="C21" s="221" t="s">
        <v>1760</v>
      </c>
      <c r="D21" s="221" t="s">
        <v>1761</v>
      </c>
      <c r="E21" s="222" t="s">
        <v>1762</v>
      </c>
      <c r="F21" s="223">
        <v>45986</v>
      </c>
      <c r="G21" s="221" t="s">
        <v>1763</v>
      </c>
      <c r="H21" s="224" t="s">
        <v>1764</v>
      </c>
      <c r="I21" s="225" t="str">
        <f>HYPERLINK("https://drive.google.com/file/d/154EXhdDSi-0OdipgxHqv75khnYt3qz78/view?usp=drivesdk","Core 9 - Open Source Technology using PHP")</f>
        <v xml:space="preserve">Core 9 - Open Source Technology using PHP</v>
      </c>
      <c r="J21" s="226" t="s">
        <v>1738</v>
      </c>
      <c r="K21" s="212"/>
      <c r="L21" s="213"/>
    </row>
    <row r="22" ht="12.75">
      <c r="A22" s="21" t="s">
        <v>1658</v>
      </c>
      <c r="B22" s="221" t="s">
        <v>1765</v>
      </c>
      <c r="C22" s="221" t="s">
        <v>1766</v>
      </c>
      <c r="D22" s="221" t="s">
        <v>1767</v>
      </c>
      <c r="E22" s="222" t="s">
        <v>1768</v>
      </c>
      <c r="F22" s="223">
        <v>45986</v>
      </c>
      <c r="G22" s="221" t="s">
        <v>1769</v>
      </c>
      <c r="H22" s="224" t="s">
        <v>1770</v>
      </c>
      <c r="I22" s="225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226" t="s">
        <v>1771</v>
      </c>
      <c r="K22" s="212"/>
      <c r="L22" s="213"/>
    </row>
    <row r="23" ht="12.75">
      <c r="A23" s="21" t="s">
        <v>1658</v>
      </c>
      <c r="B23" s="221" t="s">
        <v>1772</v>
      </c>
      <c r="C23" s="221" t="s">
        <v>1773</v>
      </c>
      <c r="D23" s="221" t="s">
        <v>1774</v>
      </c>
      <c r="E23" s="222" t="s">
        <v>1775</v>
      </c>
      <c r="F23" s="223">
        <v>45986</v>
      </c>
      <c r="G23" s="221" t="s">
        <v>1776</v>
      </c>
      <c r="H23" s="224" t="s">
        <v>1777</v>
      </c>
      <c r="I23" s="225" t="str">
        <f>HYPERLINK("https://drive.google.com/file/d/1omaTDMCsz4HYKnFu95lcy2mEGznvzkAT/view?usp=drivesdk","Specialization - Big Data Analytics - I")</f>
        <v xml:space="preserve">Specialization - Big Data Analytics - I</v>
      </c>
      <c r="J23" s="226" t="s">
        <v>1771</v>
      </c>
      <c r="K23" s="212"/>
      <c r="L23" s="213"/>
    </row>
    <row r="24" ht="12.75">
      <c r="A24" s="21" t="s">
        <v>1658</v>
      </c>
      <c r="B24" s="221" t="s">
        <v>1778</v>
      </c>
      <c r="C24" s="221" t="s">
        <v>1779</v>
      </c>
      <c r="D24" s="221" t="s">
        <v>1780</v>
      </c>
      <c r="E24" s="222" t="s">
        <v>1781</v>
      </c>
      <c r="F24" s="223">
        <v>45986</v>
      </c>
      <c r="G24" s="221" t="s">
        <v>1782</v>
      </c>
      <c r="H24" s="224" t="s">
        <v>1783</v>
      </c>
      <c r="I24" s="225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226" t="s">
        <v>1771</v>
      </c>
      <c r="K24" s="212"/>
      <c r="L24" s="213"/>
    </row>
    <row r="25" ht="12.75">
      <c r="A25" s="21" t="s">
        <v>1658</v>
      </c>
      <c r="B25" s="221" t="s">
        <v>1784</v>
      </c>
      <c r="C25" s="221" t="s">
        <v>1785</v>
      </c>
      <c r="D25" s="221" t="s">
        <v>1786</v>
      </c>
      <c r="E25" s="222" t="s">
        <v>1787</v>
      </c>
      <c r="F25" s="223">
        <v>45986</v>
      </c>
      <c r="G25" s="221" t="s">
        <v>1788</v>
      </c>
      <c r="H25" s="224" t="s">
        <v>1789</v>
      </c>
      <c r="I25" s="225" t="str">
        <f>HYPERLINK("https://drive.google.com/file/d/1Tew5Y7qJlkFmyktM4PiBsLG9sxmd4GS3/view?usp=drivesdk","Specialization - Cloud Computing - I")</f>
        <v xml:space="preserve">Specialization - Cloud Computing - I</v>
      </c>
      <c r="J25" s="226" t="s">
        <v>1771</v>
      </c>
      <c r="K25" s="212"/>
      <c r="L25" s="213"/>
    </row>
    <row r="26" ht="12.75">
      <c r="A26" s="227" t="s">
        <v>159</v>
      </c>
      <c r="B26" s="228" t="s">
        <v>1790</v>
      </c>
      <c r="C26" s="228" t="s">
        <v>1791</v>
      </c>
      <c r="D26" s="228" t="s">
        <v>1792</v>
      </c>
      <c r="E26" s="229" t="s">
        <v>1793</v>
      </c>
      <c r="F26" s="230">
        <v>46084</v>
      </c>
      <c r="G26" s="228" t="s">
        <v>1794</v>
      </c>
      <c r="H26" s="231" t="s">
        <v>1795</v>
      </c>
      <c r="I26" s="232" t="str">
        <f>HYPERLINK("https://drive.google.com/file/d/1KdGjofO9aadmDvl272Oyj8sjizEZAZkv/view?usp=drivesdk","Power Electronics - II")</f>
        <v xml:space="preserve">Power Electronics - II</v>
      </c>
      <c r="J26" s="233" t="s">
        <v>1796</v>
      </c>
      <c r="K26" s="212"/>
      <c r="L26" s="213"/>
    </row>
    <row r="27" ht="12.75">
      <c r="A27" s="227" t="s">
        <v>159</v>
      </c>
      <c r="B27" s="228" t="s">
        <v>1797</v>
      </c>
      <c r="C27" s="228" t="s">
        <v>1798</v>
      </c>
      <c r="D27" s="228" t="s">
        <v>1799</v>
      </c>
      <c r="E27" s="229" t="s">
        <v>1800</v>
      </c>
      <c r="F27" s="230">
        <v>46101</v>
      </c>
      <c r="G27" s="228" t="s">
        <v>1801</v>
      </c>
      <c r="H27" s="231" t="s">
        <v>1802</v>
      </c>
      <c r="I27" s="232" t="str">
        <f>HYPERLINK("https://drive.google.com/file/d/1cpvjucmyUL_4pxfFXnJL0Nr-aBzbh-AW/view?usp=drivesdk","Analysis of Mechanism and Machine Elements")</f>
        <v xml:space="preserve">Analysis of Mechanism and Machine Elements</v>
      </c>
      <c r="J27" s="233" t="s">
        <v>1796</v>
      </c>
      <c r="K27" s="212"/>
      <c r="L27" s="213"/>
    </row>
    <row r="28" ht="12.75">
      <c r="A28" s="227" t="s">
        <v>159</v>
      </c>
      <c r="B28" s="228" t="s">
        <v>1803</v>
      </c>
      <c r="C28" s="228" t="s">
        <v>1804</v>
      </c>
      <c r="D28" s="228" t="s">
        <v>1805</v>
      </c>
      <c r="E28" s="229" t="s">
        <v>1806</v>
      </c>
      <c r="F28" s="230">
        <v>46101</v>
      </c>
      <c r="G28" s="228" t="s">
        <v>1807</v>
      </c>
      <c r="H28" s="231" t="s">
        <v>1808</v>
      </c>
      <c r="I28" s="232" t="str">
        <f>HYPERLINK("https://drive.google.com/file/d/1gUZPmpgbH62_4i96n1a3X3JLOK9inzW0/view?usp=drivesdk","Aerodynamics I")</f>
        <v xml:space="preserve">Aerodynamics I</v>
      </c>
      <c r="J28" s="233" t="s">
        <v>1796</v>
      </c>
      <c r="K28" s="212"/>
      <c r="L28" s="213"/>
    </row>
    <row r="29" ht="12.75">
      <c r="A29" s="227" t="s">
        <v>159</v>
      </c>
      <c r="B29" s="228" t="s">
        <v>1809</v>
      </c>
      <c r="C29" s="228" t="s">
        <v>1810</v>
      </c>
      <c r="D29" s="228" t="s">
        <v>1811</v>
      </c>
      <c r="E29" s="229" t="s">
        <v>1812</v>
      </c>
      <c r="F29" s="230">
        <v>46101</v>
      </c>
      <c r="G29" s="228" t="s">
        <v>1813</v>
      </c>
      <c r="H29" s="231" t="s">
        <v>1814</v>
      </c>
      <c r="I29" s="232" t="str">
        <f>HYPERLINK("https://drive.google.com/file/d/1T3WrvWXhqfrkMascRUdJoF5zNZSh020X/view?usp=drivesdk","Propulsion I")</f>
        <v xml:space="preserve">Propulsion I</v>
      </c>
      <c r="J29" s="233" t="s">
        <v>1796</v>
      </c>
      <c r="K29" s="212"/>
      <c r="L29" s="213"/>
    </row>
    <row r="30" ht="18.75">
      <c r="A30" s="227" t="s">
        <v>159</v>
      </c>
      <c r="B30" s="228" t="s">
        <v>1815</v>
      </c>
      <c r="C30" s="228" t="s">
        <v>1816</v>
      </c>
      <c r="D30" s="228" t="s">
        <v>1817</v>
      </c>
      <c r="E30" s="229" t="s">
        <v>1818</v>
      </c>
      <c r="F30" s="230">
        <v>46101</v>
      </c>
      <c r="G30" s="228" t="s">
        <v>1819</v>
      </c>
      <c r="H30" s="231" t="s">
        <v>1820</v>
      </c>
      <c r="I30" s="232" t="str">
        <f>HYPERLINK("https://drive.google.com/file/d/1repwrDO5b_ovi_UI4oriw2HAvoBKXiUz/view?usp=drivesdk","Introduction to Aerospace  Engineering")</f>
        <v xml:space="preserve">Introduction to Aerospace  Engineering</v>
      </c>
      <c r="J30" s="233" t="s">
        <v>1821</v>
      </c>
      <c r="K30" s="212"/>
      <c r="L30" s="213"/>
    </row>
    <row r="31" ht="12.75">
      <c r="A31" s="227" t="s">
        <v>159</v>
      </c>
      <c r="B31" s="228" t="s">
        <v>1822</v>
      </c>
      <c r="C31" s="228" t="s">
        <v>1823</v>
      </c>
      <c r="D31" s="228" t="s">
        <v>1824</v>
      </c>
      <c r="E31" s="229" t="s">
        <v>1825</v>
      </c>
      <c r="F31" s="230">
        <v>46101</v>
      </c>
      <c r="G31" s="228" t="s">
        <v>1826</v>
      </c>
      <c r="H31" s="231" t="s">
        <v>1827</v>
      </c>
      <c r="I31" s="232" t="str">
        <f>HYPERLINK("https://drive.google.com/file/d/1e4tM0JF2EKumNiQJxILyv1_MyiNKAoeV/view?usp=drivesdk","Aircraft Struture I")</f>
        <v xml:space="preserve">Aircraft Struture I</v>
      </c>
      <c r="J31" s="233" t="s">
        <v>1821</v>
      </c>
      <c r="K31" s="212"/>
      <c r="L31" s="213"/>
    </row>
    <row r="32" ht="12.75">
      <c r="A32" s="227" t="s">
        <v>159</v>
      </c>
      <c r="B32" s="228" t="s">
        <v>1828</v>
      </c>
      <c r="C32" s="228" t="s">
        <v>1829</v>
      </c>
      <c r="D32" s="228" t="s">
        <v>1830</v>
      </c>
      <c r="E32" s="229" t="s">
        <v>1831</v>
      </c>
      <c r="F32" s="230">
        <v>46101</v>
      </c>
      <c r="G32" s="228" t="s">
        <v>1832</v>
      </c>
      <c r="H32" s="231" t="s">
        <v>1833</v>
      </c>
      <c r="I32" s="232" t="str">
        <f>HYPERLINK("https://drive.google.com/file/d/1oPLXRg_cVxE5BFogdvlrEHXnTYM_q0rP/view?usp=drivesdk","Web Design")</f>
        <v xml:space="preserve">Web Design</v>
      </c>
      <c r="J32" s="233" t="s">
        <v>1821</v>
      </c>
      <c r="K32" s="212"/>
      <c r="L32" s="213"/>
    </row>
    <row r="33" ht="12.75">
      <c r="A33" s="227" t="s">
        <v>159</v>
      </c>
      <c r="B33" s="228" t="s">
        <v>1834</v>
      </c>
      <c r="C33" s="228" t="s">
        <v>1835</v>
      </c>
      <c r="D33" s="228" t="s">
        <v>1836</v>
      </c>
      <c r="E33" s="229" t="s">
        <v>1837</v>
      </c>
      <c r="F33" s="230">
        <v>46084</v>
      </c>
      <c r="G33" s="228" t="s">
        <v>1838</v>
      </c>
      <c r="H33" s="231" t="s">
        <v>1839</v>
      </c>
      <c r="I33" s="232" t="str">
        <f>HYPERLINK("https://drive.google.com/file/d/1h1jBsFglaT8Q2y3NSfnc7088-xxdg__G/view?usp=drivesdk","DBMS")</f>
        <v>DBMS</v>
      </c>
      <c r="J33" s="233" t="s">
        <v>1821</v>
      </c>
      <c r="K33" s="212"/>
      <c r="L33" s="213"/>
    </row>
    <row r="34" ht="12.75">
      <c r="A34" s="227" t="s">
        <v>159</v>
      </c>
      <c r="B34" s="228" t="s">
        <v>1840</v>
      </c>
      <c r="C34" s="228" t="s">
        <v>1841</v>
      </c>
      <c r="D34" s="228" t="s">
        <v>1842</v>
      </c>
      <c r="E34" s="229" t="s">
        <v>1843</v>
      </c>
      <c r="F34" s="230">
        <v>46116</v>
      </c>
      <c r="G34" s="228" t="s">
        <v>1844</v>
      </c>
      <c r="H34" s="231" t="s">
        <v>1845</v>
      </c>
      <c r="I34" s="232" t="str">
        <f>HYPERLINK("https://drive.google.com/file/d/1nSiLwV51NWcVAEqq0lHd3x5kZHBjHI-7/view?usp=drivesdk","AWS Cloud Computing")</f>
        <v xml:space="preserve">AWS Cloud Computing</v>
      </c>
      <c r="J34" s="233" t="s">
        <v>1821</v>
      </c>
      <c r="K34" s="212"/>
      <c r="L34" s="213"/>
    </row>
    <row r="35" ht="12.75">
      <c r="A35" s="21" t="s">
        <v>257</v>
      </c>
      <c r="B35" s="234" t="s">
        <v>1846</v>
      </c>
      <c r="C35" s="234" t="s">
        <v>1847</v>
      </c>
      <c r="D35" s="234" t="s">
        <v>1848</v>
      </c>
      <c r="E35" s="235" t="s">
        <v>1849</v>
      </c>
      <c r="F35" s="236">
        <v>46045</v>
      </c>
      <c r="G35" s="234" t="s">
        <v>1850</v>
      </c>
      <c r="H35" s="237" t="s">
        <v>1851</v>
      </c>
      <c r="I35" s="238" t="str">
        <f>HYPERLINK("https://drive.google.com/file/d/18PVyF4RXslj0awwoSpY87xn6e4Fb3k0x/view?usp=drivesdk","Introduction to Aeronautical Engineering")</f>
        <v xml:space="preserve">Introduction to Aeronautical Engineering</v>
      </c>
      <c r="J35" s="239" t="s">
        <v>1852</v>
      </c>
      <c r="K35" s="212"/>
      <c r="L35" s="213"/>
    </row>
    <row r="36" ht="12.75">
      <c r="A36" s="21" t="s">
        <v>257</v>
      </c>
      <c r="B36" s="234" t="s">
        <v>1853</v>
      </c>
      <c r="C36" s="234" t="s">
        <v>1854</v>
      </c>
      <c r="D36" s="234" t="s">
        <v>1855</v>
      </c>
      <c r="E36" s="235" t="s">
        <v>1856</v>
      </c>
      <c r="F36" s="236">
        <v>46045</v>
      </c>
      <c r="G36" s="234" t="s">
        <v>1857</v>
      </c>
      <c r="H36" s="237" t="s">
        <v>1858</v>
      </c>
      <c r="I36" s="238" t="str">
        <f>HYPERLINK("https://drive.google.com/file/d/17B3-dOgO96i1vaw0Y7IBvYFqC1gi2UnP/view?usp=drivesdk","Energy Conservation")</f>
        <v xml:space="preserve">Energy Conservation</v>
      </c>
      <c r="J36" s="239" t="s">
        <v>1859</v>
      </c>
      <c r="K36" s="212"/>
      <c r="L36" s="213"/>
    </row>
    <row r="37" ht="19.5">
      <c r="A37" s="21" t="s">
        <v>257</v>
      </c>
      <c r="B37" s="234" t="s">
        <v>1860</v>
      </c>
      <c r="C37" s="234" t="s">
        <v>1861</v>
      </c>
      <c r="D37" s="234" t="s">
        <v>1862</v>
      </c>
      <c r="E37" s="235" t="s">
        <v>1863</v>
      </c>
      <c r="F37" s="236">
        <v>46045</v>
      </c>
      <c r="G37" s="234" t="s">
        <v>1864</v>
      </c>
      <c r="H37" s="237" t="s">
        <v>1865</v>
      </c>
      <c r="I37" s="238" t="str">
        <f>HYPERLINK("https://drive.google.com/file/d/1p-oC36Is8HrI_KuDprZZ7hJ0VFAO2-nd/view?usp=drivesdk","Elements of Mechanical Engineering ")</f>
        <v xml:space="preserve">Elements of Mechanical Engineering </v>
      </c>
      <c r="J37" s="239" t="s">
        <v>1859</v>
      </c>
      <c r="K37" s="212"/>
      <c r="L37" s="213"/>
    </row>
    <row r="38" ht="12.75">
      <c r="A38" s="21" t="s">
        <v>257</v>
      </c>
      <c r="B38" s="234" t="s">
        <v>1866</v>
      </c>
      <c r="C38" s="234" t="s">
        <v>1867</v>
      </c>
      <c r="D38" s="234" t="s">
        <v>1868</v>
      </c>
      <c r="E38" s="235" t="s">
        <v>1869</v>
      </c>
      <c r="F38" s="236">
        <v>46045</v>
      </c>
      <c r="G38" s="234" t="s">
        <v>1870</v>
      </c>
      <c r="H38" s="237" t="s">
        <v>1871</v>
      </c>
      <c r="I38" s="238" t="str">
        <f>HYPERLINK("https://drive.google.com/file/d/1pIVWFJ56F5KKFEBDHKtBuKN40dtOLTsL/view?usp=drivesdk","Environmental Science")</f>
        <v xml:space="preserve">Environmental Science</v>
      </c>
      <c r="J38" s="239" t="s">
        <v>1859</v>
      </c>
      <c r="K38" s="212"/>
      <c r="L38" s="213"/>
    </row>
    <row r="39" ht="12.75">
      <c r="A39" s="21" t="s">
        <v>257</v>
      </c>
      <c r="B39" s="234" t="s">
        <v>1867</v>
      </c>
      <c r="C39" s="234" t="s">
        <v>1872</v>
      </c>
      <c r="D39" s="234" t="s">
        <v>1873</v>
      </c>
      <c r="E39" s="235" t="s">
        <v>1874</v>
      </c>
      <c r="F39" s="236">
        <v>46045</v>
      </c>
      <c r="G39" s="234" t="s">
        <v>1875</v>
      </c>
      <c r="H39" s="237" t="s">
        <v>1876</v>
      </c>
      <c r="I39" s="238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239" t="s">
        <v>1859</v>
      </c>
      <c r="K39" s="212"/>
      <c r="L39" s="213"/>
    </row>
    <row r="40" ht="12.75">
      <c r="A40" s="21" t="s">
        <v>257</v>
      </c>
      <c r="B40" s="234" t="s">
        <v>1877</v>
      </c>
      <c r="C40" s="234" t="s">
        <v>1878</v>
      </c>
      <c r="D40" s="234" t="s">
        <v>1110</v>
      </c>
      <c r="E40" s="235" t="s">
        <v>1879</v>
      </c>
      <c r="F40" s="236">
        <v>46045</v>
      </c>
      <c r="G40" s="234" t="s">
        <v>1880</v>
      </c>
      <c r="H40" s="237" t="s">
        <v>1881</v>
      </c>
      <c r="I40" s="238" t="str">
        <f>HYPERLINK("https://drive.google.com/file/d/1IdiaWeEj-bdDtlVRAOuYsEtYb2_TfSMt/view?usp=drivesdk","Disaster Management")</f>
        <v xml:space="preserve">Disaster Management</v>
      </c>
      <c r="J40" s="239" t="s">
        <v>1859</v>
      </c>
      <c r="K40" s="212"/>
      <c r="L40" s="213"/>
    </row>
    <row r="41" ht="120">
      <c r="A41" s="240" t="s">
        <v>447</v>
      </c>
      <c r="B41" s="241" t="s">
        <v>454</v>
      </c>
      <c r="C41" s="241" t="s">
        <v>1882</v>
      </c>
      <c r="D41" s="242" t="s">
        <v>1883</v>
      </c>
      <c r="E41" s="243" t="s">
        <v>1884</v>
      </c>
      <c r="F41" s="244">
        <v>46052</v>
      </c>
      <c r="G41" s="241" t="s">
        <v>1885</v>
      </c>
      <c r="H41" s="245" t="s">
        <v>1886</v>
      </c>
      <c r="I41" s="246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247" t="s">
        <v>1887</v>
      </c>
      <c r="K41" s="212"/>
      <c r="L41" s="213"/>
    </row>
    <row r="42" ht="60">
      <c r="A42" s="29" t="s">
        <v>475</v>
      </c>
      <c r="B42" s="248" t="s">
        <v>1888</v>
      </c>
      <c r="C42" s="248" t="s">
        <v>1889</v>
      </c>
      <c r="D42" s="249" t="s">
        <v>1890</v>
      </c>
      <c r="E42" s="250" t="s">
        <v>1891</v>
      </c>
      <c r="F42" s="251">
        <v>46086</v>
      </c>
      <c r="G42" s="241" t="s">
        <v>1892</v>
      </c>
      <c r="H42" s="245" t="s">
        <v>1893</v>
      </c>
      <c r="I42" s="246" t="str">
        <f>HYPERLINK("https://drive.google.com/file/d/1S8UBFr9BX7loqvnpxXUW6g6786VdnvLy/view?usp=drivesdk","Food Storage Engineering ")</f>
        <v xml:space="preserve">Food Storage Engineering </v>
      </c>
      <c r="J42" s="247" t="s">
        <v>1894</v>
      </c>
      <c r="K42" s="212"/>
      <c r="L42" s="213"/>
    </row>
    <row r="43" ht="18.75">
      <c r="A43" s="29" t="s">
        <v>475</v>
      </c>
      <c r="B43" s="248" t="s">
        <v>1895</v>
      </c>
      <c r="C43" s="248" t="s">
        <v>1896</v>
      </c>
      <c r="D43" s="252" t="s">
        <v>1897</v>
      </c>
      <c r="E43" s="253" t="s">
        <v>1898</v>
      </c>
      <c r="F43" s="254">
        <v>46380</v>
      </c>
      <c r="G43" s="241" t="s">
        <v>1899</v>
      </c>
      <c r="H43" s="245" t="s">
        <v>1900</v>
      </c>
      <c r="I43" s="246" t="str">
        <f>HYPERLINK("https://drive.google.com/file/d/12C9zNqh0naJOfnpfSBifLL1zRQtCSeYC/view?usp=drivesdk","Soil and Water Conservation Engineering")</f>
        <v xml:space="preserve">Soil and Water Conservation Engineering</v>
      </c>
      <c r="J43" s="247" t="s">
        <v>1901</v>
      </c>
      <c r="K43" s="212"/>
      <c r="L43" s="213"/>
    </row>
    <row r="44" ht="14.25">
      <c r="A44" s="72" t="s">
        <v>1902</v>
      </c>
      <c r="B44" s="255" t="s">
        <v>1903</v>
      </c>
      <c r="C44" s="255" t="s">
        <v>1904</v>
      </c>
      <c r="D44" s="256" t="s">
        <v>1905</v>
      </c>
      <c r="E44" s="257" t="s">
        <v>1906</v>
      </c>
      <c r="F44" s="258">
        <v>45995</v>
      </c>
      <c r="G44" s="255" t="s">
        <v>1907</v>
      </c>
      <c r="H44" s="259" t="s">
        <v>1908</v>
      </c>
      <c r="I44" s="260" t="str">
        <f>HYPERLINK("https://drive.google.com/file/d/1k8yYPgxrllb771PddDjNCsNidi3kGixy/view?usp=drivesdk","Problem Solving using C")</f>
        <v xml:space="preserve">Problem Solving using C</v>
      </c>
      <c r="J44" s="261" t="s">
        <v>1909</v>
      </c>
      <c r="K44" s="212"/>
      <c r="L44" s="213"/>
    </row>
    <row r="45" ht="14.25">
      <c r="A45" s="72" t="s">
        <v>1902</v>
      </c>
      <c r="B45" s="262" t="s">
        <v>1910</v>
      </c>
      <c r="C45" s="262" t="s">
        <v>1911</v>
      </c>
      <c r="D45" s="256" t="s">
        <v>1912</v>
      </c>
      <c r="E45" s="257" t="s">
        <v>1913</v>
      </c>
      <c r="F45" s="258">
        <v>45995</v>
      </c>
      <c r="G45" s="255" t="s">
        <v>1914</v>
      </c>
      <c r="H45" s="259" t="s">
        <v>1915</v>
      </c>
      <c r="I45" s="260" t="str">
        <f>HYPERLINK("https://drive.google.com/file/d/18BOiWkafnBaKJeEIWpTbdhEbMWyXRxi8/view?usp=drivesdk","Introduction to DBMS")</f>
        <v xml:space="preserve">Introduction to DBMS</v>
      </c>
      <c r="J45" s="261" t="s">
        <v>1909</v>
      </c>
      <c r="K45" s="212"/>
      <c r="L45" s="213"/>
    </row>
    <row r="46" ht="14.25">
      <c r="A46" s="72" t="s">
        <v>1902</v>
      </c>
      <c r="B46" s="263" t="s">
        <v>1916</v>
      </c>
      <c r="C46" s="263" t="s">
        <v>1917</v>
      </c>
      <c r="D46" s="256" t="s">
        <v>1918</v>
      </c>
      <c r="E46" s="257" t="s">
        <v>1919</v>
      </c>
      <c r="F46" s="258">
        <v>45995</v>
      </c>
      <c r="G46" s="255" t="s">
        <v>1920</v>
      </c>
      <c r="H46" s="259" t="s">
        <v>1921</v>
      </c>
      <c r="I46" s="260" t="str">
        <f>HYPERLINK("https://drive.google.com/file/d/1hHJ_51JSThMxinLxEKJw4xann8fPsw6E/view?usp=drivesdk","Data Mining ")</f>
        <v xml:space="preserve">Data Mining </v>
      </c>
      <c r="J46" s="261" t="s">
        <v>1922</v>
      </c>
      <c r="K46" s="212"/>
      <c r="L46" s="213"/>
    </row>
    <row r="47" ht="14.25">
      <c r="A47" s="72" t="s">
        <v>1902</v>
      </c>
      <c r="B47" s="263" t="s">
        <v>1923</v>
      </c>
      <c r="C47" s="263" t="s">
        <v>1924</v>
      </c>
      <c r="D47" s="256" t="s">
        <v>1925</v>
      </c>
      <c r="E47" s="257" t="s">
        <v>1926</v>
      </c>
      <c r="F47" s="258">
        <v>45995</v>
      </c>
      <c r="G47" s="255" t="s">
        <v>1927</v>
      </c>
      <c r="H47" s="259" t="s">
        <v>1928</v>
      </c>
      <c r="I47" s="260" t="str">
        <f>HYPERLINK("https://drive.google.com/file/d/1dygpOOrO4lpCXRR0K8sqcVj-ZdpeWC5j/view?usp=drivesdk","Cloud Computing ")</f>
        <v xml:space="preserve">Cloud Computing </v>
      </c>
      <c r="J47" s="261" t="s">
        <v>1922</v>
      </c>
      <c r="K47" s="212"/>
      <c r="L47" s="213"/>
    </row>
    <row r="48" ht="14.25">
      <c r="A48" s="72" t="s">
        <v>1902</v>
      </c>
      <c r="B48" s="263" t="s">
        <v>1929</v>
      </c>
      <c r="C48" s="263" t="s">
        <v>1930</v>
      </c>
      <c r="D48" s="256" t="s">
        <v>1931</v>
      </c>
      <c r="E48" s="257" t="s">
        <v>1932</v>
      </c>
      <c r="F48" s="258">
        <v>45995</v>
      </c>
      <c r="G48" s="255" t="s">
        <v>1933</v>
      </c>
      <c r="H48" s="259" t="s">
        <v>1934</v>
      </c>
      <c r="I48" s="260" t="str">
        <f>HYPERLINK("https://drive.google.com/file/d/1huNTbUFKwWJxLH1p8-Qt7TApdiuJfy5i/view?usp=drivesdk","Mobile Application Development ")</f>
        <v xml:space="preserve">Mobile Application Development </v>
      </c>
      <c r="J48" s="261" t="s">
        <v>1922</v>
      </c>
      <c r="K48" s="212"/>
      <c r="L48" s="213"/>
    </row>
    <row r="49" ht="25.5">
      <c r="A49" s="72" t="s">
        <v>1902</v>
      </c>
      <c r="B49" s="263" t="s">
        <v>1935</v>
      </c>
      <c r="C49" s="263" t="s">
        <v>1936</v>
      </c>
      <c r="D49" s="256" t="s">
        <v>1937</v>
      </c>
      <c r="E49" s="257" t="s">
        <v>1938</v>
      </c>
      <c r="F49" s="258">
        <v>45995</v>
      </c>
      <c r="G49" s="255" t="s">
        <v>1939</v>
      </c>
      <c r="H49" s="259" t="s">
        <v>1940</v>
      </c>
      <c r="I49" s="260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261" t="s">
        <v>1922</v>
      </c>
      <c r="K49" s="212"/>
      <c r="L49" s="213"/>
    </row>
    <row r="50" ht="14.25">
      <c r="A50" s="72" t="s">
        <v>1902</v>
      </c>
      <c r="B50" s="263" t="s">
        <v>1941</v>
      </c>
      <c r="C50" s="263" t="s">
        <v>1942</v>
      </c>
      <c r="D50" s="256" t="s">
        <v>1943</v>
      </c>
      <c r="E50" s="257" t="s">
        <v>1944</v>
      </c>
      <c r="F50" s="258">
        <v>45995</v>
      </c>
      <c r="G50" s="255" t="s">
        <v>1945</v>
      </c>
      <c r="H50" s="259" t="s">
        <v>1946</v>
      </c>
      <c r="I50" s="260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261" t="s">
        <v>1922</v>
      </c>
      <c r="K50" s="212"/>
      <c r="L50" s="213"/>
    </row>
    <row r="51" ht="21.75">
      <c r="A51" s="72" t="s">
        <v>1902</v>
      </c>
      <c r="B51" s="263" t="s">
        <v>1947</v>
      </c>
      <c r="C51" s="263" t="s">
        <v>1948</v>
      </c>
      <c r="D51" s="256" t="s">
        <v>1949</v>
      </c>
      <c r="E51" s="257" t="s">
        <v>1950</v>
      </c>
      <c r="F51" s="258">
        <v>45995</v>
      </c>
      <c r="G51" s="255" t="s">
        <v>1951</v>
      </c>
      <c r="H51" s="259" t="s">
        <v>1952</v>
      </c>
      <c r="I51" s="260" t="str">
        <f>HYPERLINK("https://drive.google.com/file/d/18bJkkwWuNcR2NDdKhgnZo9HyVmCJTunv/view?usp=drivesdk","Basics of Web Programming using PHP")</f>
        <v xml:space="preserve">Basics of Web Programming using PHP</v>
      </c>
      <c r="J51" s="261" t="s">
        <v>1922</v>
      </c>
      <c r="K51" s="212"/>
      <c r="L51" s="213"/>
    </row>
    <row r="52" ht="14.25">
      <c r="A52" s="72" t="s">
        <v>1902</v>
      </c>
      <c r="B52" s="263" t="s">
        <v>1953</v>
      </c>
      <c r="C52" s="263" t="s">
        <v>1954</v>
      </c>
      <c r="D52" s="256" t="s">
        <v>1955</v>
      </c>
      <c r="E52" s="257" t="s">
        <v>1956</v>
      </c>
      <c r="F52" s="258">
        <v>45995</v>
      </c>
      <c r="G52" s="255" t="s">
        <v>1957</v>
      </c>
      <c r="H52" s="259" t="s">
        <v>1958</v>
      </c>
      <c r="I52" s="260" t="str">
        <f>HYPERLINK("https://drive.google.com/file/d/18T0FqYe6lncXvqxkUJvx1BFJpOXOVigk/view?usp=drivesdk","Data Structure")</f>
        <v xml:space="preserve">Data Structure</v>
      </c>
      <c r="J52" s="261" t="s">
        <v>1959</v>
      </c>
      <c r="K52" s="212"/>
      <c r="L52" s="213"/>
    </row>
    <row r="53" ht="14.25">
      <c r="A53" s="72" t="s">
        <v>1902</v>
      </c>
      <c r="B53" s="263" t="s">
        <v>1960</v>
      </c>
      <c r="C53" s="263" t="s">
        <v>1961</v>
      </c>
      <c r="D53" s="256" t="s">
        <v>1962</v>
      </c>
      <c r="E53" s="257" t="s">
        <v>1963</v>
      </c>
      <c r="F53" s="258">
        <v>45995</v>
      </c>
      <c r="G53" s="255" t="s">
        <v>1964</v>
      </c>
      <c r="H53" s="259" t="s">
        <v>1965</v>
      </c>
      <c r="I53" s="260" t="str">
        <f>HYPERLINK("https://drive.google.com/file/d/19k-E9v5Jrsb20pvLzQSNDoVv6e7x3h6m/view?usp=drivesdk","Software Development")</f>
        <v xml:space="preserve">Software Development</v>
      </c>
      <c r="J53" s="261" t="s">
        <v>1959</v>
      </c>
      <c r="K53" s="212"/>
      <c r="L53" s="213"/>
    </row>
    <row r="54" ht="14.25">
      <c r="A54" s="72" t="s">
        <v>1902</v>
      </c>
      <c r="B54" s="263" t="s">
        <v>1966</v>
      </c>
      <c r="C54" s="263" t="s">
        <v>1967</v>
      </c>
      <c r="D54" s="256" t="s">
        <v>1968</v>
      </c>
      <c r="E54" s="257" t="s">
        <v>1969</v>
      </c>
      <c r="F54" s="258">
        <v>45995</v>
      </c>
      <c r="G54" s="255" t="s">
        <v>1970</v>
      </c>
      <c r="H54" s="259" t="s">
        <v>1971</v>
      </c>
      <c r="I54" s="260" t="str">
        <f>HYPERLINK("https://drive.google.com/file/d/1rqgkTP1ClLNnWfcu4uAFP2Y9seT2kEwJ/view?usp=drivesdk","Computer Organization and architecture")</f>
        <v xml:space="preserve">Computer Organization and architecture</v>
      </c>
      <c r="J54" s="261" t="s">
        <v>1959</v>
      </c>
      <c r="K54" s="212"/>
      <c r="L54" s="213"/>
    </row>
    <row r="55" ht="14.25">
      <c r="A55" s="72" t="s">
        <v>1902</v>
      </c>
      <c r="B55" s="263" t="s">
        <v>1972</v>
      </c>
      <c r="C55" s="263" t="s">
        <v>1973</v>
      </c>
      <c r="D55" s="256" t="s">
        <v>1974</v>
      </c>
      <c r="E55" s="257" t="s">
        <v>1975</v>
      </c>
      <c r="F55" s="258">
        <v>45995</v>
      </c>
      <c r="G55" s="255" t="s">
        <v>1976</v>
      </c>
      <c r="H55" s="259" t="s">
        <v>1977</v>
      </c>
      <c r="I55" s="260" t="str">
        <f>HYPERLINK("https://drive.google.com/file/d/1H9cKL37WldPoq-36iq3SRTvqOJLTiM_V/view?usp=drivesdk","Computer Graphics_Image Processing")</f>
        <v xml:space="preserve">Computer Graphics_Image Processing</v>
      </c>
      <c r="J55" s="261" t="s">
        <v>1959</v>
      </c>
      <c r="K55" s="212"/>
      <c r="L55" s="213"/>
    </row>
    <row r="56" ht="14.25">
      <c r="A56" s="72" t="s">
        <v>1902</v>
      </c>
      <c r="B56" s="263" t="s">
        <v>1978</v>
      </c>
      <c r="C56" s="263" t="s">
        <v>1979</v>
      </c>
      <c r="D56" s="256" t="s">
        <v>1980</v>
      </c>
      <c r="E56" s="257" t="s">
        <v>1981</v>
      </c>
      <c r="F56" s="258">
        <v>45995</v>
      </c>
      <c r="G56" s="255" t="s">
        <v>1982</v>
      </c>
      <c r="H56" s="259" t="s">
        <v>1983</v>
      </c>
      <c r="I56" s="260" t="str">
        <f>HYPERLINK("https://drive.google.com/file/d/1C1-dTJ0VUcYOYhE27CrcUKeiWkhGKL-D/view?usp=drivesdk",".Net")</f>
        <v>.Net</v>
      </c>
      <c r="J56" s="261" t="s">
        <v>1959</v>
      </c>
      <c r="K56" s="212"/>
      <c r="L56" s="213"/>
    </row>
    <row r="57" ht="14.25">
      <c r="A57" s="72" t="s">
        <v>1902</v>
      </c>
      <c r="B57" s="263" t="s">
        <v>1984</v>
      </c>
      <c r="C57" s="263" t="s">
        <v>1985</v>
      </c>
      <c r="D57" s="256" t="s">
        <v>1986</v>
      </c>
      <c r="E57" s="257" t="s">
        <v>1987</v>
      </c>
      <c r="F57" s="258">
        <v>45995</v>
      </c>
      <c r="G57" s="255" t="s">
        <v>1988</v>
      </c>
      <c r="H57" s="259" t="s">
        <v>1989</v>
      </c>
      <c r="I57" s="260" t="str">
        <f>HYPERLINK("https://drive.google.com/file/d/1tC0W3Sx1PJte_XzEYjBV8RHmqqh1Hee5/view?usp=drivesdk","Software testing and tools")</f>
        <v xml:space="preserve">Software testing and tools</v>
      </c>
      <c r="J57" s="261" t="s">
        <v>1959</v>
      </c>
      <c r="K57" s="212"/>
      <c r="L57" s="213"/>
    </row>
    <row r="58" ht="14.25">
      <c r="A58" s="72" t="s">
        <v>1902</v>
      </c>
      <c r="B58" s="263" t="s">
        <v>1990</v>
      </c>
      <c r="C58" s="263" t="s">
        <v>1991</v>
      </c>
      <c r="D58" s="256" t="s">
        <v>1992</v>
      </c>
      <c r="E58" s="257" t="s">
        <v>1993</v>
      </c>
      <c r="F58" s="258">
        <v>45995</v>
      </c>
      <c r="G58" s="255" t="s">
        <v>1994</v>
      </c>
      <c r="H58" s="259" t="s">
        <v>1995</v>
      </c>
      <c r="I58" s="260" t="str">
        <f>HYPERLINK("https://drive.google.com/file/d/1s2BhvDN8iFn3YzpVIXdTcqpk8tRvYZ_B/view?usp=drivesdk","Data Mining")</f>
        <v xml:space="preserve">Data Mining</v>
      </c>
      <c r="J58" s="261" t="s">
        <v>1996</v>
      </c>
      <c r="K58" s="212"/>
      <c r="L58" s="213"/>
    </row>
    <row r="59" ht="14.25">
      <c r="A59" s="72" t="s">
        <v>1902</v>
      </c>
      <c r="B59" s="263" t="s">
        <v>1997</v>
      </c>
      <c r="C59" s="263" t="s">
        <v>1998</v>
      </c>
      <c r="D59" s="256" t="s">
        <v>1999</v>
      </c>
      <c r="E59" s="257" t="s">
        <v>2000</v>
      </c>
      <c r="F59" s="258">
        <v>45995</v>
      </c>
      <c r="G59" s="255" t="s">
        <v>2001</v>
      </c>
      <c r="H59" s="259" t="s">
        <v>2002</v>
      </c>
      <c r="I59" s="260" t="str">
        <f>HYPERLINK("https://drive.google.com/file/d/1lkyZPF_qzHl7MHWTV1mkNX8furxsm3hw/view?usp=drivesdk","Android ")</f>
        <v xml:space="preserve">Android </v>
      </c>
      <c r="J59" s="261" t="s">
        <v>1996</v>
      </c>
      <c r="K59" s="212"/>
      <c r="L59" s="213"/>
    </row>
    <row r="60" ht="14.25">
      <c r="A60" s="72" t="s">
        <v>1902</v>
      </c>
      <c r="B60" s="263" t="s">
        <v>2003</v>
      </c>
      <c r="C60" s="263" t="s">
        <v>2004</v>
      </c>
      <c r="D60" s="256" t="s">
        <v>2005</v>
      </c>
      <c r="E60" s="257" t="s">
        <v>2006</v>
      </c>
      <c r="F60" s="258">
        <v>45995</v>
      </c>
      <c r="G60" s="255" t="s">
        <v>2007</v>
      </c>
      <c r="H60" s="259" t="s">
        <v>2008</v>
      </c>
      <c r="I60" s="260" t="str">
        <f>HYPERLINK("https://drive.google.com/file/d/1AyRlrHhhdE9y1duvvkMmu1g1H_oDz-cm/view?usp=drivesdk","Network Security and Cryptography")</f>
        <v xml:space="preserve">Network Security and Cryptography</v>
      </c>
      <c r="J60" s="261" t="s">
        <v>1996</v>
      </c>
      <c r="K60" s="212"/>
      <c r="L60" s="213"/>
    </row>
    <row r="61" ht="14.25">
      <c r="A61" s="72" t="s">
        <v>1902</v>
      </c>
      <c r="B61" s="263" t="s">
        <v>2009</v>
      </c>
      <c r="C61" s="263" t="s">
        <v>2010</v>
      </c>
      <c r="D61" s="256" t="s">
        <v>2011</v>
      </c>
      <c r="E61" s="257" t="s">
        <v>2012</v>
      </c>
      <c r="F61" s="258">
        <v>45995</v>
      </c>
      <c r="G61" s="255" t="s">
        <v>2013</v>
      </c>
      <c r="H61" s="259" t="s">
        <v>2014</v>
      </c>
      <c r="I61" s="260" t="str">
        <f>HYPERLINK("https://drive.google.com/file/d/1NR-gUHxEqexzW_Fz9i_xubzH1emaxSM0/view?usp=drivesdk","AI ")</f>
        <v xml:space="preserve">AI </v>
      </c>
      <c r="J61" s="261" t="s">
        <v>1996</v>
      </c>
      <c r="K61" s="212"/>
      <c r="L61" s="213"/>
    </row>
    <row r="62" ht="14.25">
      <c r="A62" s="72" t="s">
        <v>1902</v>
      </c>
      <c r="B62" s="263" t="s">
        <v>2015</v>
      </c>
      <c r="C62" s="263" t="s">
        <v>2016</v>
      </c>
      <c r="D62" s="256" t="s">
        <v>2017</v>
      </c>
      <c r="E62" s="257" t="s">
        <v>2018</v>
      </c>
      <c r="F62" s="258">
        <v>45995</v>
      </c>
      <c r="G62" s="255" t="s">
        <v>2019</v>
      </c>
      <c r="H62" s="259" t="s">
        <v>2020</v>
      </c>
      <c r="I62" s="260" t="str">
        <f>HYPERLINK("https://drive.google.com/file/d/1sJA6vqsdHf491nKz3i8GZB8Pfp-pWgGK/view?usp=drivesdk","Basic Electronics")</f>
        <v xml:space="preserve">Basic Electronics</v>
      </c>
      <c r="J62" s="261" t="s">
        <v>1996</v>
      </c>
      <c r="K62" s="212"/>
      <c r="L62" s="213"/>
    </row>
    <row r="63" ht="14.25">
      <c r="A63" s="72" t="s">
        <v>1902</v>
      </c>
      <c r="B63" s="263" t="s">
        <v>2021</v>
      </c>
      <c r="C63" s="263" t="s">
        <v>2016</v>
      </c>
      <c r="D63" s="256" t="s">
        <v>2022</v>
      </c>
      <c r="E63" s="257" t="s">
        <v>2023</v>
      </c>
      <c r="F63" s="258">
        <v>45995</v>
      </c>
      <c r="G63" s="255" t="s">
        <v>2024</v>
      </c>
      <c r="H63" s="259" t="s">
        <v>2025</v>
      </c>
      <c r="I63" s="260" t="str">
        <f>HYPERLINK("https://drive.google.com/file/d/132-48eNbflqKq261Vm1tMONDi8lxt6Ig/view?usp=drivesdk","E-Waste Managment")</f>
        <v xml:space="preserve">E-Waste Managment</v>
      </c>
      <c r="J63" s="261" t="s">
        <v>1996</v>
      </c>
      <c r="K63" s="212"/>
      <c r="L63" s="213"/>
    </row>
    <row r="64" ht="14.25">
      <c r="A64" s="29" t="s">
        <v>2026</v>
      </c>
      <c r="B64" s="264" t="s">
        <v>2027</v>
      </c>
      <c r="C64" s="264" t="s">
        <v>2028</v>
      </c>
      <c r="D64" s="123" t="s">
        <v>2029</v>
      </c>
      <c r="E64" s="265" t="s">
        <v>2030</v>
      </c>
      <c r="F64" s="126">
        <v>46059</v>
      </c>
      <c r="G64" s="124" t="s">
        <v>2031</v>
      </c>
      <c r="H64" s="266" t="s">
        <v>2032</v>
      </c>
      <c r="I64" s="267" t="str">
        <f>HYPERLINK("https://drive.google.com/file/d/1j2Z0ZYSB6hjJyK_l3fAKM9qbOdF8D0lP/view?usp=drivesdk","Medicinal Biochemistry")</f>
        <v xml:space="preserve">Medicinal Biochemistry</v>
      </c>
      <c r="J64" s="268" t="s">
        <v>2033</v>
      </c>
      <c r="K64" s="212"/>
      <c r="L64" s="213"/>
    </row>
    <row r="65" ht="12.75">
      <c r="A65" s="29" t="s">
        <v>2026</v>
      </c>
      <c r="B65" s="264" t="s">
        <v>2034</v>
      </c>
      <c r="C65" s="264" t="s">
        <v>2035</v>
      </c>
      <c r="D65" s="123" t="s">
        <v>2036</v>
      </c>
      <c r="E65" s="265" t="s">
        <v>2037</v>
      </c>
      <c r="F65" s="126">
        <v>46059</v>
      </c>
      <c r="G65" s="124" t="s">
        <v>2038</v>
      </c>
      <c r="H65" s="266" t="s">
        <v>2039</v>
      </c>
      <c r="I65" s="267" t="str">
        <f>HYPERLINK("https://drive.google.com/file/d/13adbFClpbTmYQqF9_Ae543_NUGZqEO2C/view?usp=drivesdk","Pharmaceutical Inorganic Chemistry")</f>
        <v xml:space="preserve">Pharmaceutical Inorganic Chemistry</v>
      </c>
      <c r="J65" s="268" t="s">
        <v>2033</v>
      </c>
      <c r="K65" s="212"/>
      <c r="L65" s="213"/>
    </row>
    <row r="66" ht="12.75">
      <c r="A66" s="29" t="s">
        <v>2026</v>
      </c>
      <c r="B66" s="123" t="s">
        <v>2040</v>
      </c>
      <c r="C66" s="264" t="s">
        <v>2041</v>
      </c>
      <c r="D66" s="124" t="s">
        <v>2042</v>
      </c>
      <c r="E66" s="265" t="s">
        <v>2043</v>
      </c>
      <c r="F66" s="126">
        <v>46059</v>
      </c>
      <c r="G66" s="124" t="s">
        <v>2044</v>
      </c>
      <c r="H66" s="266" t="s">
        <v>2045</v>
      </c>
      <c r="I66" s="267" t="str">
        <f>HYPERLINK("https://drive.google.com/file/d/1hHZhOXHmbTxY4VnH5m-tbtr9ppyYoWID/view?usp=drivesdk","Pharmacognosy &amp; Phytopharmaceuticals")</f>
        <v xml:space="preserve">Pharmacognosy &amp; Phytopharmaceuticals</v>
      </c>
      <c r="J66" s="268" t="s">
        <v>2033</v>
      </c>
      <c r="K66" s="212"/>
      <c r="L66" s="213"/>
    </row>
    <row r="67" ht="12.75">
      <c r="A67" s="29" t="s">
        <v>2026</v>
      </c>
      <c r="B67" s="123" t="s">
        <v>2046</v>
      </c>
      <c r="C67" s="264" t="s">
        <v>2047</v>
      </c>
      <c r="D67" s="124" t="s">
        <v>2048</v>
      </c>
      <c r="E67" s="265" t="s">
        <v>2049</v>
      </c>
      <c r="F67" s="126">
        <v>46059</v>
      </c>
      <c r="G67" s="124" t="s">
        <v>2050</v>
      </c>
      <c r="H67" s="266" t="s">
        <v>2051</v>
      </c>
      <c r="I67" s="267" t="str">
        <f>HYPERLINK("https://drive.google.com/file/d/1ZWl-kXSS_PdXItt-A3OgqC54YGP95erJ/view?usp=drivesdk","Pharmacology-II")</f>
        <v>Pharmacology-II</v>
      </c>
      <c r="J67" s="268" t="s">
        <v>2033</v>
      </c>
      <c r="K67" s="212"/>
      <c r="L67" s="213"/>
    </row>
    <row r="68" ht="12.75">
      <c r="A68" s="29" t="s">
        <v>2026</v>
      </c>
      <c r="B68" s="123" t="s">
        <v>2052</v>
      </c>
      <c r="C68" s="264" t="s">
        <v>2053</v>
      </c>
      <c r="D68" s="124" t="s">
        <v>2054</v>
      </c>
      <c r="E68" s="265" t="s">
        <v>2055</v>
      </c>
      <c r="F68" s="126">
        <v>46059</v>
      </c>
      <c r="G68" s="124" t="s">
        <v>2056</v>
      </c>
      <c r="H68" s="266" t="s">
        <v>2057</v>
      </c>
      <c r="I68" s="267" t="str">
        <f>HYPERLINK("https://drive.google.com/file/d/1k8lhQtlm7Ly6p9LvluB03WzcsjgVXUQp/view?usp=drivesdk","Pharmaceutical Jurisprudence")</f>
        <v xml:space="preserve">Pharmaceutical Jurisprudence</v>
      </c>
      <c r="J68" s="268" t="s">
        <v>2058</v>
      </c>
      <c r="K68" s="212"/>
      <c r="L68" s="213"/>
    </row>
    <row r="69" ht="12.75">
      <c r="A69" s="29" t="s">
        <v>2026</v>
      </c>
      <c r="B69" s="123" t="s">
        <v>2059</v>
      </c>
      <c r="C69" s="264" t="s">
        <v>2060</v>
      </c>
      <c r="D69" s="124" t="s">
        <v>2061</v>
      </c>
      <c r="E69" s="265" t="s">
        <v>2062</v>
      </c>
      <c r="F69" s="126">
        <v>46059</v>
      </c>
      <c r="G69" s="124" t="s">
        <v>2063</v>
      </c>
      <c r="H69" s="266" t="s">
        <v>2064</v>
      </c>
      <c r="I69" s="267" t="str">
        <f>HYPERLINK("https://drive.google.com/file/d/1GSsrNS8K2tRjKDZ5_OoHrB30n7lUh4QU/view?usp=drivesdk","Pharmaceutical Formulations")</f>
        <v xml:space="preserve">Pharmaceutical Formulations</v>
      </c>
      <c r="J69" s="268" t="s">
        <v>2058</v>
      </c>
      <c r="K69" s="212"/>
      <c r="L69" s="213"/>
    </row>
    <row r="70" ht="12.75">
      <c r="A70" s="29" t="s">
        <v>2026</v>
      </c>
      <c r="B70" s="123" t="s">
        <v>2065</v>
      </c>
      <c r="C70" s="264" t="s">
        <v>2066</v>
      </c>
      <c r="D70" s="124" t="s">
        <v>2067</v>
      </c>
      <c r="E70" s="265" t="s">
        <v>2068</v>
      </c>
      <c r="F70" s="126">
        <v>46059</v>
      </c>
      <c r="G70" s="124" t="s">
        <v>2069</v>
      </c>
      <c r="H70" s="266" t="s">
        <v>2070</v>
      </c>
      <c r="I70" s="267" t="str">
        <f>HYPERLINK("https://drive.google.com/file/d/11xRvL5MiACTMK8JiYCgI82Y-w7Ivlj4G/view?usp=drivesdk","Pharmacotherapeutics-III")</f>
        <v>Pharmacotherapeutics-III</v>
      </c>
      <c r="J70" s="268" t="s">
        <v>2058</v>
      </c>
      <c r="K70" s="212"/>
      <c r="L70" s="213"/>
    </row>
    <row r="71" ht="12.75">
      <c r="A71" s="29" t="s">
        <v>2026</v>
      </c>
      <c r="B71" s="123" t="s">
        <v>2071</v>
      </c>
      <c r="C71" s="264" t="s">
        <v>2072</v>
      </c>
      <c r="D71" s="124" t="s">
        <v>2073</v>
      </c>
      <c r="E71" s="265" t="s">
        <v>2074</v>
      </c>
      <c r="F71" s="126">
        <v>46059</v>
      </c>
      <c r="G71" s="124" t="s">
        <v>2075</v>
      </c>
      <c r="H71" s="266" t="s">
        <v>2076</v>
      </c>
      <c r="I71" s="267" t="str">
        <f>HYPERLINK("https://drive.google.com/file/d/1vpOb-PnWsTFK6b5mmA0As-QQN-Jk3x-Q/view?usp=drivesdk","Pharmaceutical Chemistry – Theory")</f>
        <v xml:space="preserve">Pharmaceutical Chemistry – Theory</v>
      </c>
      <c r="J71" s="268" t="s">
        <v>2058</v>
      </c>
      <c r="K71" s="212"/>
      <c r="L71" s="213"/>
    </row>
    <row r="72" ht="12.75">
      <c r="A72" s="29" t="s">
        <v>2026</v>
      </c>
      <c r="B72" s="123" t="s">
        <v>2077</v>
      </c>
      <c r="C72" s="264" t="s">
        <v>2078</v>
      </c>
      <c r="D72" s="124" t="s">
        <v>2079</v>
      </c>
      <c r="E72" s="265" t="s">
        <v>2080</v>
      </c>
      <c r="F72" s="126">
        <v>46059</v>
      </c>
      <c r="G72" s="124" t="s">
        <v>2081</v>
      </c>
      <c r="H72" s="266" t="s">
        <v>2082</v>
      </c>
      <c r="I72" s="267" t="str">
        <f>HYPERLINK("https://drive.google.com/file/d/1DfqxEf9PVGyI89tShMKrKqtRH_zWUptL/view?usp=drivesdk","Pharmacognosy –Theory")</f>
        <v xml:space="preserve">Pharmacognosy –Theory</v>
      </c>
      <c r="J72" s="268" t="s">
        <v>2058</v>
      </c>
      <c r="K72" s="212"/>
      <c r="L72" s="213"/>
    </row>
    <row r="73" ht="12.75">
      <c r="A73" s="29" t="s">
        <v>2026</v>
      </c>
      <c r="B73" s="123" t="s">
        <v>2083</v>
      </c>
      <c r="C73" s="264" t="s">
        <v>2084</v>
      </c>
      <c r="D73" s="124" t="s">
        <v>2085</v>
      </c>
      <c r="E73" s="265" t="s">
        <v>2086</v>
      </c>
      <c r="F73" s="126">
        <v>46059</v>
      </c>
      <c r="G73" s="124" t="s">
        <v>2087</v>
      </c>
      <c r="H73" s="266" t="s">
        <v>2088</v>
      </c>
      <c r="I73" s="267" t="str">
        <f>HYPERLINK("https://drive.google.com/file/d/1o_3N_JfZ7OPRbTICW7UlPuxYykzDN6rQ/view?usp=drivesdk","Human Anatomy &amp; Physiology –Theory")</f>
        <v xml:space="preserve">Human Anatomy &amp; Physiology –Theory</v>
      </c>
      <c r="J73" s="268" t="s">
        <v>2058</v>
      </c>
      <c r="K73" s="212"/>
      <c r="L73" s="213"/>
    </row>
    <row r="74" ht="12.75">
      <c r="A74" s="29" t="s">
        <v>2026</v>
      </c>
      <c r="B74" s="123" t="s">
        <v>2089</v>
      </c>
      <c r="C74" s="264" t="s">
        <v>2090</v>
      </c>
      <c r="D74" s="124" t="s">
        <v>2091</v>
      </c>
      <c r="E74" s="265" t="s">
        <v>2092</v>
      </c>
      <c r="F74" s="126">
        <v>46059</v>
      </c>
      <c r="G74" s="124" t="s">
        <v>2093</v>
      </c>
      <c r="H74" s="266" t="s">
        <v>2094</v>
      </c>
      <c r="I74" s="267" t="str">
        <f>HYPERLINK("https://drive.google.com/file/d/1Evm3w6w5o9smxmcFxAWvYMy1rafKBJMH/view?usp=drivesdk","Social Pharmacy –Theory")</f>
        <v xml:space="preserve">Social Pharmacy –Theory</v>
      </c>
      <c r="J74" s="268" t="s">
        <v>2095</v>
      </c>
      <c r="K74" s="212"/>
      <c r="L74" s="213"/>
    </row>
    <row r="75" ht="12.75">
      <c r="A75" s="29" t="s">
        <v>2026</v>
      </c>
      <c r="B75" s="123" t="s">
        <v>2096</v>
      </c>
      <c r="C75" s="264" t="s">
        <v>2097</v>
      </c>
      <c r="D75" s="124" t="s">
        <v>2098</v>
      </c>
      <c r="E75" s="265" t="s">
        <v>2099</v>
      </c>
      <c r="F75" s="126">
        <v>46059</v>
      </c>
      <c r="G75" s="124" t="s">
        <v>2100</v>
      </c>
      <c r="H75" s="266" t="s">
        <v>2101</v>
      </c>
      <c r="I75" s="267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268" t="s">
        <v>2095</v>
      </c>
      <c r="K75" s="212"/>
      <c r="L75" s="213"/>
    </row>
    <row r="76" ht="12.75">
      <c r="A76" s="29" t="s">
        <v>2026</v>
      </c>
      <c r="B76" s="123" t="s">
        <v>2052</v>
      </c>
      <c r="C76" s="264" t="s">
        <v>2053</v>
      </c>
      <c r="D76" s="124" t="s">
        <v>2102</v>
      </c>
      <c r="E76" s="265" t="s">
        <v>2103</v>
      </c>
      <c r="F76" s="126">
        <v>46059</v>
      </c>
      <c r="G76" s="124" t="s">
        <v>2104</v>
      </c>
      <c r="H76" s="266" t="s">
        <v>2105</v>
      </c>
      <c r="I76" s="267" t="str">
        <f>HYPERLINK("https://drive.google.com/file/d/1o-C4A8VsSGh5MzXQSn7mZs5kT-NuOyzV/view?usp=drivesdk","Pharmacy Law &amp; Ethics")</f>
        <v xml:space="preserve">Pharmacy Law &amp; Ethics</v>
      </c>
      <c r="J76" s="268" t="s">
        <v>2095</v>
      </c>
      <c r="K76" s="212"/>
      <c r="L76" s="213"/>
    </row>
    <row r="77" ht="12.75">
      <c r="A77" s="269" t="s">
        <v>1476</v>
      </c>
      <c r="B77" s="123" t="s">
        <v>2106</v>
      </c>
      <c r="C77" s="264" t="s">
        <v>2107</v>
      </c>
      <c r="D77" s="124" t="s">
        <v>2108</v>
      </c>
      <c r="E77" s="265" t="s">
        <v>2109</v>
      </c>
      <c r="F77" s="126">
        <v>46139</v>
      </c>
      <c r="G77" s="124" t="s">
        <v>2110</v>
      </c>
      <c r="H77" s="266" t="s">
        <v>2111</v>
      </c>
      <c r="I77" s="267" t="str">
        <f>HYPERLINK("https://drive.google.com/file/d/1op3oCHRxQk6Qq4OQFk-s4cc34r2XwWjM/view?usp=drivesdk","Introduction Of Neuro Science")</f>
        <v xml:space="preserve">Introduction Of Neuro Science</v>
      </c>
      <c r="J77" s="268" t="s">
        <v>2112</v>
      </c>
      <c r="K77" s="212"/>
      <c r="L77" s="213"/>
    </row>
    <row r="78" ht="12.75">
      <c r="A78" s="269" t="s">
        <v>1476</v>
      </c>
      <c r="B78" s="123" t="s">
        <v>2113</v>
      </c>
      <c r="C78" s="264" t="s">
        <v>2114</v>
      </c>
      <c r="D78" s="124" t="s">
        <v>2115</v>
      </c>
      <c r="E78" s="265" t="s">
        <v>2116</v>
      </c>
      <c r="F78" s="126">
        <v>46139</v>
      </c>
      <c r="G78" s="124" t="s">
        <v>2117</v>
      </c>
      <c r="H78" s="266" t="s">
        <v>2118</v>
      </c>
      <c r="I78" s="267" t="str">
        <f>HYPERLINK("https://drive.google.com/file/d/15uT99ac5cwq3r8P1sR-37QMaNl7JQjDT/view?usp=drivesdk","Infection control and plasmapheresis (T)")</f>
        <v xml:space="preserve">Infection control and plasmapheresis (T)</v>
      </c>
      <c r="J78" s="268" t="s">
        <v>2112</v>
      </c>
      <c r="K78" s="212"/>
      <c r="L78" s="213"/>
    </row>
    <row r="79" ht="12.75">
      <c r="A79" s="269" t="s">
        <v>846</v>
      </c>
      <c r="B79" s="270" t="s">
        <v>2119</v>
      </c>
      <c r="C79" s="271" t="s">
        <v>2120</v>
      </c>
      <c r="D79" s="124" t="s">
        <v>880</v>
      </c>
      <c r="E79" s="272" t="s">
        <v>2121</v>
      </c>
      <c r="F79" s="118">
        <v>46139</v>
      </c>
      <c r="G79" s="119" t="s">
        <v>2122</v>
      </c>
      <c r="H79" s="120" t="s">
        <v>2123</v>
      </c>
      <c r="I79" s="121" t="str">
        <f>HYPERLINK("https://drive.google.com/file/d/1XWw3XvrCS5xp6BNVsdYs9Hv5nS3gjwsh/view?usp=drivesdk","Pharmacotherapeutics-I")</f>
        <v>Pharmacotherapeutics-I</v>
      </c>
      <c r="J79" s="122" t="s">
        <v>2124</v>
      </c>
    </row>
    <row r="80" ht="12.75">
      <c r="A80" s="273" t="s">
        <v>846</v>
      </c>
      <c r="B80" s="274" t="s">
        <v>2125</v>
      </c>
      <c r="C80" s="275" t="s">
        <v>2126</v>
      </c>
      <c r="D80" s="276" t="s">
        <v>885</v>
      </c>
      <c r="E80" s="272" t="s">
        <v>2127</v>
      </c>
      <c r="F80" s="202">
        <v>46139</v>
      </c>
      <c r="G80" s="277" t="s">
        <v>2128</v>
      </c>
      <c r="H80" s="278" t="s">
        <v>2129</v>
      </c>
      <c r="I80" s="279" t="str">
        <f>HYPERLINK("https://drive.google.com/file/d/1-qQ5zDE4PXDsaqSM7wGv0wAUmdSnFlA8/view?usp=drivesdk","Pharmaceutical Analysis")</f>
        <v xml:space="preserve">Pharmaceutical Analysis</v>
      </c>
      <c r="J80" s="280" t="s">
        <v>2130</v>
      </c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7" zoomScale="100" workbookViewId="0">
      <selection activeCell="A1" activeCellId="0" sqref="A1"/>
    </sheetView>
  </sheetViews>
  <sheetFormatPr defaultRowHeight="12.75"/>
  <cols>
    <col bestFit="1" min="1" max="1" width="16.140625"/>
    <col bestFit="1" min="7" max="7" width="15.33203125"/>
  </cols>
  <sheetData>
    <row r="1" ht="17.25" customHeight="1">
      <c r="A1" s="1" t="s">
        <v>0</v>
      </c>
      <c r="B1" s="2" t="s">
        <v>1640</v>
      </c>
      <c r="C1" s="2" t="s">
        <v>1641</v>
      </c>
      <c r="D1" s="2" t="s">
        <v>2131</v>
      </c>
      <c r="E1" s="2" t="s">
        <v>2</v>
      </c>
      <c r="F1" s="2" t="s">
        <v>3</v>
      </c>
      <c r="G1" s="2" t="s">
        <v>4</v>
      </c>
      <c r="H1" s="3" t="s">
        <v>2132</v>
      </c>
      <c r="I1" s="3" t="s">
        <v>2133</v>
      </c>
      <c r="J1" s="3" t="s">
        <v>2134</v>
      </c>
      <c r="K1" s="4" t="s">
        <v>2135</v>
      </c>
    </row>
    <row r="2">
      <c r="A2" s="5"/>
      <c r="B2" s="7" t="s">
        <v>2136</v>
      </c>
      <c r="C2" s="7" t="s">
        <v>2137</v>
      </c>
      <c r="D2" s="7" t="s">
        <v>2138</v>
      </c>
      <c r="E2" s="7" t="s">
        <v>2139</v>
      </c>
      <c r="F2" s="7" t="s">
        <v>2140</v>
      </c>
      <c r="G2" s="8">
        <v>46275</v>
      </c>
      <c r="H2" s="7" t="s">
        <v>2141</v>
      </c>
      <c r="I2" s="9" t="s">
        <v>2142</v>
      </c>
      <c r="J2" s="10" t="str">
        <f>HYPERLINK("https://drive.google.com/file/d/1LC2-5cLd-etqmKpmMeqlrrSEhmTZ9g4a/view?usp=drivesdk","Nirmita Ritesh Patel-Kajal Rathore-Kinnari Mishra-Advanced Financial Management")</f>
        <v xml:space="preserve">Nirmita Ritesh Patel-Kajal Rathore-Kinnari Mishra-Advanced Financial Management</v>
      </c>
      <c r="K2" s="11" t="s">
        <v>2143</v>
      </c>
    </row>
    <row r="3">
      <c r="A3" s="194"/>
      <c r="B3" s="281" t="s">
        <v>2136</v>
      </c>
      <c r="C3" s="281" t="s">
        <v>2138</v>
      </c>
      <c r="D3" s="281" t="s">
        <v>2137</v>
      </c>
      <c r="E3" s="281" t="s">
        <v>2139</v>
      </c>
      <c r="F3" s="282" t="s">
        <v>2140</v>
      </c>
      <c r="G3" s="283">
        <v>46275</v>
      </c>
      <c r="H3" s="281" t="s">
        <v>2144</v>
      </c>
      <c r="I3" s="284" t="s">
        <v>2145</v>
      </c>
      <c r="J3" s="285" t="str">
        <f>HYPERLINK("https://drive.google.com/file/d/1c5po6fzRGhj-olnQkv5f6NWYqyln1CPm/view?usp=drivesdk","Nirmita Ritesh Patel-Kinnari Mishra-Kajal Rathore-Advanced Financial Management")</f>
        <v xml:space="preserve">Nirmita Ritesh Patel-Kinnari Mishra-Kajal Rathore-Advanced Financial Management</v>
      </c>
      <c r="K3" s="286" t="s">
        <v>2146</v>
      </c>
    </row>
    <row r="4" ht="19.5">
      <c r="A4" s="50" t="s">
        <v>1658</v>
      </c>
      <c r="B4" s="287" t="s">
        <v>1690</v>
      </c>
      <c r="C4" s="287" t="s">
        <v>1666</v>
      </c>
      <c r="D4" s="287" t="s">
        <v>1750</v>
      </c>
      <c r="E4" s="288" t="s">
        <v>2147</v>
      </c>
      <c r="F4" s="289" t="s">
        <v>2148</v>
      </c>
      <c r="G4" s="290">
        <v>45986</v>
      </c>
      <c r="H4" s="287" t="s">
        <v>2149</v>
      </c>
      <c r="I4" s="291" t="s">
        <v>2150</v>
      </c>
      <c r="J4" s="292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4" s="293" t="s">
        <v>2151</v>
      </c>
    </row>
    <row r="5" ht="19.5">
      <c r="A5" s="50" t="s">
        <v>1658</v>
      </c>
      <c r="B5" s="287" t="s">
        <v>2152</v>
      </c>
      <c r="C5" s="287" t="s">
        <v>2153</v>
      </c>
      <c r="D5" s="287" t="s">
        <v>2154</v>
      </c>
      <c r="E5" s="288" t="s">
        <v>2155</v>
      </c>
      <c r="F5" s="289" t="s">
        <v>2156</v>
      </c>
      <c r="G5" s="294">
        <v>45986</v>
      </c>
      <c r="H5" s="287" t="s">
        <v>2157</v>
      </c>
      <c r="I5" s="291" t="s">
        <v>2158</v>
      </c>
      <c r="J5" s="292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5" s="293" t="s">
        <v>2151</v>
      </c>
    </row>
    <row r="6" ht="19.5">
      <c r="A6" s="295" t="s">
        <v>159</v>
      </c>
      <c r="B6" s="34" t="s">
        <v>2159</v>
      </c>
      <c r="C6" s="34" t="s">
        <v>2160</v>
      </c>
      <c r="D6" s="34" t="s">
        <v>2161</v>
      </c>
      <c r="E6" s="228" t="s">
        <v>2162</v>
      </c>
      <c r="F6" s="229" t="s">
        <v>2163</v>
      </c>
      <c r="G6" s="296">
        <v>46000</v>
      </c>
      <c r="H6" s="34" t="s">
        <v>2164</v>
      </c>
      <c r="I6" s="35" t="s">
        <v>2165</v>
      </c>
      <c r="J6" s="36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6" s="37" t="s">
        <v>2166</v>
      </c>
    </row>
    <row r="7" ht="19.5">
      <c r="A7" s="21" t="s">
        <v>159</v>
      </c>
      <c r="B7" s="34" t="s">
        <v>2167</v>
      </c>
      <c r="C7" s="34" t="s">
        <v>2168</v>
      </c>
      <c r="D7" s="34" t="s">
        <v>1791</v>
      </c>
      <c r="E7" s="228" t="s">
        <v>2169</v>
      </c>
      <c r="F7" s="229" t="s">
        <v>2170</v>
      </c>
      <c r="G7" s="296">
        <v>46049</v>
      </c>
      <c r="H7" s="34" t="s">
        <v>2171</v>
      </c>
      <c r="I7" s="35" t="s">
        <v>2172</v>
      </c>
      <c r="J7" s="36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7" s="37" t="s">
        <v>2166</v>
      </c>
    </row>
    <row r="8" ht="19.5">
      <c r="A8" s="297" t="s">
        <v>159</v>
      </c>
      <c r="B8" s="228" t="s">
        <v>2173</v>
      </c>
      <c r="C8" s="34" t="s">
        <v>2174</v>
      </c>
      <c r="D8" s="34" t="s">
        <v>2175</v>
      </c>
      <c r="E8" s="228" t="s">
        <v>2176</v>
      </c>
      <c r="F8" s="229" t="s">
        <v>2177</v>
      </c>
      <c r="G8" s="296">
        <v>46112</v>
      </c>
      <c r="H8" s="34" t="s">
        <v>2178</v>
      </c>
      <c r="I8" s="35" t="s">
        <v>2179</v>
      </c>
      <c r="J8" s="36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8" s="37" t="s">
        <v>2166</v>
      </c>
    </row>
    <row r="9" ht="38.25">
      <c r="A9" s="298" t="s">
        <v>257</v>
      </c>
      <c r="B9" s="299" t="s">
        <v>2180</v>
      </c>
      <c r="C9" s="46" t="s">
        <v>2181</v>
      </c>
      <c r="D9" s="46" t="s">
        <v>2182</v>
      </c>
      <c r="E9" s="234" t="s">
        <v>2183</v>
      </c>
      <c r="F9" s="235" t="s">
        <v>2184</v>
      </c>
      <c r="G9" s="45">
        <v>46045</v>
      </c>
      <c r="H9" s="46" t="s">
        <v>2185</v>
      </c>
      <c r="I9" s="47" t="s">
        <v>2186</v>
      </c>
      <c r="J9" s="48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9" s="49" t="s">
        <v>2187</v>
      </c>
    </row>
    <row r="10" ht="38.25">
      <c r="A10" s="298" t="s">
        <v>257</v>
      </c>
      <c r="B10" s="42" t="s">
        <v>2188</v>
      </c>
      <c r="C10" s="46" t="s">
        <v>2189</v>
      </c>
      <c r="D10" s="46" t="s">
        <v>2190</v>
      </c>
      <c r="E10" s="234" t="s">
        <v>2191</v>
      </c>
      <c r="F10" s="235" t="s">
        <v>2192</v>
      </c>
      <c r="G10" s="45">
        <v>46045</v>
      </c>
      <c r="H10" s="46" t="s">
        <v>2193</v>
      </c>
      <c r="I10" s="47" t="s">
        <v>2194</v>
      </c>
      <c r="J10" s="48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10" s="49" t="s">
        <v>2195</v>
      </c>
    </row>
    <row r="11" ht="25.5">
      <c r="A11" s="298" t="s">
        <v>257</v>
      </c>
      <c r="B11" s="43" t="s">
        <v>2196</v>
      </c>
      <c r="C11" s="46" t="s">
        <v>2197</v>
      </c>
      <c r="D11" s="46" t="s">
        <v>1854</v>
      </c>
      <c r="E11" s="234" t="s">
        <v>2198</v>
      </c>
      <c r="F11" s="235" t="s">
        <v>2199</v>
      </c>
      <c r="G11" s="45">
        <v>46045</v>
      </c>
      <c r="H11" s="46" t="s">
        <v>2200</v>
      </c>
      <c r="I11" s="47" t="s">
        <v>2201</v>
      </c>
      <c r="J11" s="48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11" s="49" t="s">
        <v>2195</v>
      </c>
    </row>
    <row r="12" ht="38.25">
      <c r="A12" s="300" t="s">
        <v>257</v>
      </c>
      <c r="B12" s="299" t="s">
        <v>2202</v>
      </c>
      <c r="C12" s="46" t="s">
        <v>2203</v>
      </c>
      <c r="D12" s="46" t="s">
        <v>2204</v>
      </c>
      <c r="E12" s="234" t="s">
        <v>2205</v>
      </c>
      <c r="F12" s="235" t="s">
        <v>2206</v>
      </c>
      <c r="G12" s="45">
        <v>46045</v>
      </c>
      <c r="H12" s="46" t="s">
        <v>2207</v>
      </c>
      <c r="I12" s="47" t="s">
        <v>2208</v>
      </c>
      <c r="J12" s="48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2" s="49" t="s">
        <v>2195</v>
      </c>
    </row>
    <row r="13" ht="38.25">
      <c r="A13" s="300" t="s">
        <v>257</v>
      </c>
      <c r="B13" s="42" t="s">
        <v>2209</v>
      </c>
      <c r="C13" s="46" t="s">
        <v>2210</v>
      </c>
      <c r="D13" s="46" t="s">
        <v>2211</v>
      </c>
      <c r="E13" s="234" t="s">
        <v>2212</v>
      </c>
      <c r="F13" s="235" t="s">
        <v>2213</v>
      </c>
      <c r="G13" s="45">
        <v>46045</v>
      </c>
      <c r="H13" s="46" t="s">
        <v>2214</v>
      </c>
      <c r="I13" s="47" t="s">
        <v>2215</v>
      </c>
      <c r="J13" s="48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3" s="49" t="s">
        <v>2195</v>
      </c>
    </row>
    <row r="14" ht="38.25">
      <c r="A14" s="300" t="s">
        <v>257</v>
      </c>
      <c r="B14" s="42" t="s">
        <v>2216</v>
      </c>
      <c r="C14" s="46" t="s">
        <v>2217</v>
      </c>
      <c r="D14" s="46" t="s">
        <v>2218</v>
      </c>
      <c r="E14" s="234" t="s">
        <v>2219</v>
      </c>
      <c r="F14" s="235" t="s">
        <v>2220</v>
      </c>
      <c r="G14" s="45">
        <v>46045</v>
      </c>
      <c r="H14" s="46" t="s">
        <v>2221</v>
      </c>
      <c r="I14" s="47" t="s">
        <v>2222</v>
      </c>
      <c r="J14" s="48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4" s="49" t="s">
        <v>2195</v>
      </c>
    </row>
    <row r="15" ht="38.25">
      <c r="A15" s="300" t="s">
        <v>257</v>
      </c>
      <c r="B15" s="43" t="s">
        <v>2223</v>
      </c>
      <c r="C15" s="42" t="s">
        <v>2224</v>
      </c>
      <c r="D15" s="46" t="s">
        <v>2225</v>
      </c>
      <c r="E15" s="234" t="s">
        <v>2226</v>
      </c>
      <c r="F15" s="235" t="s">
        <v>2227</v>
      </c>
      <c r="G15" s="45">
        <v>46045</v>
      </c>
      <c r="H15" s="46" t="s">
        <v>2228</v>
      </c>
      <c r="I15" s="47" t="s">
        <v>2229</v>
      </c>
      <c r="J15" s="48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5" s="49" t="s">
        <v>2195</v>
      </c>
    </row>
    <row r="16" ht="38.25">
      <c r="A16" s="301" t="s">
        <v>257</v>
      </c>
      <c r="B16" s="302" t="s">
        <v>2230</v>
      </c>
      <c r="C16" s="43" t="s">
        <v>2231</v>
      </c>
      <c r="D16" s="234" t="s">
        <v>2232</v>
      </c>
      <c r="E16" s="234" t="s">
        <v>2233</v>
      </c>
      <c r="F16" s="235" t="s">
        <v>2234</v>
      </c>
      <c r="G16" s="45">
        <v>46045</v>
      </c>
      <c r="H16" s="46" t="s">
        <v>2235</v>
      </c>
      <c r="I16" s="47" t="s">
        <v>2236</v>
      </c>
      <c r="J16" s="48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6" s="49" t="s">
        <v>2237</v>
      </c>
    </row>
    <row r="17" ht="63.75">
      <c r="A17" s="12" t="s">
        <v>1902</v>
      </c>
      <c r="B17" s="262" t="s">
        <v>2238</v>
      </c>
      <c r="C17" s="262" t="s">
        <v>2239</v>
      </c>
      <c r="D17" s="262" t="s">
        <v>2240</v>
      </c>
      <c r="E17" s="255" t="s">
        <v>2241</v>
      </c>
      <c r="F17" s="257" t="s">
        <v>2242</v>
      </c>
      <c r="G17" s="303">
        <v>45995</v>
      </c>
      <c r="H17" s="304" t="s">
        <v>2243</v>
      </c>
      <c r="I17" s="305" t="s">
        <v>2244</v>
      </c>
      <c r="J17" s="306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7" s="307" t="s">
        <v>2245</v>
      </c>
    </row>
    <row r="18" ht="51">
      <c r="A18" s="12" t="s">
        <v>1902</v>
      </c>
      <c r="B18" s="262" t="s">
        <v>2246</v>
      </c>
      <c r="C18" s="262" t="s">
        <v>2247</v>
      </c>
      <c r="D18" s="262" t="s">
        <v>2248</v>
      </c>
      <c r="E18" s="255" t="s">
        <v>2249</v>
      </c>
      <c r="F18" s="257" t="s">
        <v>2250</v>
      </c>
      <c r="G18" s="303">
        <v>45995</v>
      </c>
      <c r="H18" s="304" t="s">
        <v>2251</v>
      </c>
      <c r="I18" s="305" t="s">
        <v>2252</v>
      </c>
      <c r="J18" s="306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8" s="307" t="s">
        <v>2245</v>
      </c>
    </row>
    <row r="19" ht="51">
      <c r="A19" s="12" t="s">
        <v>1902</v>
      </c>
      <c r="B19" s="304" t="s">
        <v>2253</v>
      </c>
      <c r="C19" s="308" t="s">
        <v>2254</v>
      </c>
      <c r="D19" s="304" t="s">
        <v>2255</v>
      </c>
      <c r="E19" s="256" t="s">
        <v>2256</v>
      </c>
      <c r="F19" s="257" t="s">
        <v>2257</v>
      </c>
      <c r="G19" s="303">
        <v>45995</v>
      </c>
      <c r="H19" s="304" t="s">
        <v>2258</v>
      </c>
      <c r="I19" s="305" t="s">
        <v>2259</v>
      </c>
      <c r="J19" s="306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9" s="307" t="s">
        <v>2260</v>
      </c>
    </row>
    <row r="20" ht="51">
      <c r="A20" s="12" t="s">
        <v>1902</v>
      </c>
      <c r="B20" s="304" t="s">
        <v>2261</v>
      </c>
      <c r="C20" s="308" t="s">
        <v>2262</v>
      </c>
      <c r="D20" s="304" t="s">
        <v>2263</v>
      </c>
      <c r="E20" s="256" t="s">
        <v>2264</v>
      </c>
      <c r="F20" s="257" t="s">
        <v>2265</v>
      </c>
      <c r="G20" s="303">
        <v>45995</v>
      </c>
      <c r="H20" s="304" t="s">
        <v>2266</v>
      </c>
      <c r="I20" s="305" t="s">
        <v>2267</v>
      </c>
      <c r="J20" s="306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20" s="307" t="s">
        <v>2260</v>
      </c>
    </row>
    <row r="21" ht="25.5">
      <c r="A21" s="12" t="s">
        <v>1902</v>
      </c>
      <c r="B21" s="304" t="s">
        <v>2268</v>
      </c>
      <c r="C21" s="308" t="s">
        <v>2269</v>
      </c>
      <c r="D21" s="304" t="s">
        <v>2270</v>
      </c>
      <c r="E21" s="256" t="s">
        <v>767</v>
      </c>
      <c r="F21" s="257" t="s">
        <v>2271</v>
      </c>
      <c r="G21" s="303">
        <v>45995</v>
      </c>
      <c r="H21" s="304" t="s">
        <v>2272</v>
      </c>
      <c r="I21" s="305" t="s">
        <v>2273</v>
      </c>
      <c r="J21" s="306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21" s="307" t="s">
        <v>2260</v>
      </c>
    </row>
    <row r="22" ht="21.75">
      <c r="A22" s="12" t="s">
        <v>1902</v>
      </c>
      <c r="B22" s="304" t="s">
        <v>2274</v>
      </c>
      <c r="C22" s="308" t="s">
        <v>2275</v>
      </c>
      <c r="D22" s="304" t="s">
        <v>2276</v>
      </c>
      <c r="E22" s="256" t="s">
        <v>2277</v>
      </c>
      <c r="F22" s="257" t="s">
        <v>2278</v>
      </c>
      <c r="G22" s="303">
        <v>45995</v>
      </c>
      <c r="H22" s="304" t="s">
        <v>2279</v>
      </c>
      <c r="I22" s="305" t="s">
        <v>2280</v>
      </c>
      <c r="J22" s="306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2" s="307" t="s">
        <v>2260</v>
      </c>
    </row>
    <row r="23" ht="38.25">
      <c r="A23" s="12" t="s">
        <v>1902</v>
      </c>
      <c r="B23" s="304" t="s">
        <v>2281</v>
      </c>
      <c r="C23" s="309" t="s">
        <v>2282</v>
      </c>
      <c r="D23" s="255" t="s">
        <v>2283</v>
      </c>
      <c r="E23" s="256" t="s">
        <v>2284</v>
      </c>
      <c r="F23" s="257" t="s">
        <v>2285</v>
      </c>
      <c r="G23" s="303">
        <v>45995</v>
      </c>
      <c r="H23" s="304" t="s">
        <v>2286</v>
      </c>
      <c r="I23" s="305" t="s">
        <v>2287</v>
      </c>
      <c r="J23" s="306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3" s="307" t="s">
        <v>2260</v>
      </c>
    </row>
    <row r="24" ht="16.5">
      <c r="A24" s="167" t="s">
        <v>2026</v>
      </c>
      <c r="B24" s="124" t="s">
        <v>2288</v>
      </c>
      <c r="C24" s="310" t="s">
        <v>2289</v>
      </c>
      <c r="D24" s="310" t="s">
        <v>2290</v>
      </c>
      <c r="E24" s="123" t="s">
        <v>2291</v>
      </c>
      <c r="F24" s="265" t="s">
        <v>2292</v>
      </c>
      <c r="G24" s="118">
        <v>46059</v>
      </c>
      <c r="H24" s="119" t="s">
        <v>2293</v>
      </c>
      <c r="I24" s="120" t="s">
        <v>2294</v>
      </c>
      <c r="J24" s="121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4" s="122" t="s">
        <v>2295</v>
      </c>
    </row>
    <row r="25" ht="16.5">
      <c r="A25" s="167" t="s">
        <v>2026</v>
      </c>
      <c r="B25" s="119" t="s">
        <v>2296</v>
      </c>
      <c r="C25" s="311" t="s">
        <v>2297</v>
      </c>
      <c r="D25" s="311" t="s">
        <v>2298</v>
      </c>
      <c r="E25" s="123" t="s">
        <v>2299</v>
      </c>
      <c r="F25" s="265" t="s">
        <v>2300</v>
      </c>
      <c r="G25" s="118">
        <v>46059</v>
      </c>
      <c r="H25" s="119" t="s">
        <v>2301</v>
      </c>
      <c r="I25" s="120" t="s">
        <v>2302</v>
      </c>
      <c r="J25" s="121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5" s="122" t="s">
        <v>2295</v>
      </c>
    </row>
    <row r="26" ht="15.75">
      <c r="A26" s="312" t="s">
        <v>1902</v>
      </c>
      <c r="B26" s="34" t="s">
        <v>2303</v>
      </c>
      <c r="C26" s="313" t="s">
        <v>2304</v>
      </c>
      <c r="D26" s="313" t="s">
        <v>2305</v>
      </c>
      <c r="E26" s="314" t="s">
        <v>2306</v>
      </c>
      <c r="F26" s="265" t="s">
        <v>2307</v>
      </c>
      <c r="G26" s="118">
        <v>46049</v>
      </c>
      <c r="H26" s="119" t="s">
        <v>2308</v>
      </c>
      <c r="I26" s="120" t="s">
        <v>2309</v>
      </c>
      <c r="J26" s="121" t="str">
        <f>HYPERLINK("https://drive.google.com/file/d/1wOuYeHtarx_tKiscCvISOnpheAA3LoXB/view?usp=drivesdk","Mr. Ashish Shah-Mr. Vikash Verma-Mr. Ishan Desai-Power System - I ")</f>
        <v xml:space="preserve">Mr. Ashish Shah-Mr. Vikash Verma-Mr. Ishan Desai-Power System - I </v>
      </c>
      <c r="K26" s="122" t="s">
        <v>2310</v>
      </c>
    </row>
    <row r="27" ht="15.75">
      <c r="A27" s="312" t="s">
        <v>1902</v>
      </c>
      <c r="B27" s="315" t="s">
        <v>2311</v>
      </c>
      <c r="C27" s="316" t="s">
        <v>2312</v>
      </c>
      <c r="D27" s="316" t="s">
        <v>2313</v>
      </c>
      <c r="E27" s="317" t="s">
        <v>2314</v>
      </c>
      <c r="F27" s="265" t="s">
        <v>2315</v>
      </c>
      <c r="G27" s="202">
        <v>46049</v>
      </c>
      <c r="H27" s="277" t="s">
        <v>2316</v>
      </c>
      <c r="I27" s="278" t="s">
        <v>2317</v>
      </c>
      <c r="J27" s="279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7" s="280" t="s">
        <v>2318</v>
      </c>
    </row>
    <row r="28" ht="15.75">
      <c r="A28" s="318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319" t="s">
        <v>2319</v>
      </c>
      <c r="B1" s="319" t="s">
        <v>2320</v>
      </c>
    </row>
    <row r="2">
      <c r="A2" s="320" t="s">
        <v>2321</v>
      </c>
      <c r="B2" s="320" t="s">
        <v>2322</v>
      </c>
    </row>
    <row r="3">
      <c r="A3" s="320" t="s">
        <v>2323</v>
      </c>
      <c r="B3" s="320" t="s">
        <v>2324</v>
      </c>
    </row>
    <row r="4">
      <c r="A4" s="320" t="s">
        <v>2325</v>
      </c>
      <c r="B4" s="320" t="s">
        <v>2326</v>
      </c>
    </row>
    <row r="5">
      <c r="A5" s="320" t="s">
        <v>2327</v>
      </c>
      <c r="B5" s="320" t="s">
        <v>2328</v>
      </c>
    </row>
    <row r="6">
      <c r="A6" s="320" t="s">
        <v>2329</v>
      </c>
      <c r="B6" s="320" t="s">
        <v>2324</v>
      </c>
    </row>
    <row r="7">
      <c r="A7" s="320" t="s">
        <v>2330</v>
      </c>
      <c r="B7" s="320" t="s">
        <v>2331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320" t="s">
        <v>2332</v>
      </c>
      <c r="B1" s="320" t="s">
        <v>2333</v>
      </c>
      <c r="C1" s="320" t="s">
        <v>2334</v>
      </c>
      <c r="D1" s="320" t="s">
        <v>2335</v>
      </c>
      <c r="E1" s="320" t="s">
        <v>2336</v>
      </c>
      <c r="F1" s="320" t="s">
        <v>2337</v>
      </c>
      <c r="G1" s="320" t="s">
        <v>2338</v>
      </c>
      <c r="H1" s="320" t="s">
        <v>2339</v>
      </c>
      <c r="I1" s="320" t="s">
        <v>2340</v>
      </c>
      <c r="J1" s="320" t="s">
        <v>2341</v>
      </c>
      <c r="K1" s="320" t="s">
        <v>2342</v>
      </c>
      <c r="L1" s="320" t="s">
        <v>2343</v>
      </c>
      <c r="M1" s="320" t="s">
        <v>2344</v>
      </c>
      <c r="N1" s="320" t="s">
        <v>2345</v>
      </c>
      <c r="O1" s="320" t="s">
        <v>2346</v>
      </c>
      <c r="P1" s="320" t="s">
        <v>2347</v>
      </c>
      <c r="Q1" s="320" t="s">
        <v>2348</v>
      </c>
      <c r="R1" s="320" t="s">
        <v>2349</v>
      </c>
      <c r="S1" s="320" t="s">
        <v>2350</v>
      </c>
      <c r="T1" s="320" t="s">
        <v>2351</v>
      </c>
      <c r="U1" s="320" t="s">
        <v>2352</v>
      </c>
      <c r="V1" s="320" t="s">
        <v>2353</v>
      </c>
      <c r="W1" s="320" t="s">
        <v>2354</v>
      </c>
      <c r="X1" s="320" t="s">
        <v>2355</v>
      </c>
      <c r="Y1" s="320" t="s">
        <v>2356</v>
      </c>
      <c r="Z1" s="320" t="s">
        <v>2357</v>
      </c>
      <c r="AA1" s="320" t="s">
        <v>2358</v>
      </c>
      <c r="AB1" s="320" t="s">
        <v>2359</v>
      </c>
      <c r="AC1" s="320" t="s">
        <v>2360</v>
      </c>
    </row>
    <row r="2">
      <c r="A2" s="320" t="s">
        <v>2361</v>
      </c>
      <c r="B2" s="320" t="s">
        <v>2362</v>
      </c>
      <c r="C2" s="320" t="s">
        <v>2363</v>
      </c>
      <c r="D2" s="320">
        <v>650628832</v>
      </c>
      <c r="E2" s="320">
        <v>1</v>
      </c>
      <c r="F2" s="320">
        <v>2</v>
      </c>
      <c r="G2" s="320" t="s">
        <v>2364</v>
      </c>
      <c r="H2" s="320" t="s">
        <v>2365</v>
      </c>
      <c r="I2" s="320" t="s">
        <v>2365</v>
      </c>
      <c r="J2" s="320" t="s">
        <v>2366</v>
      </c>
      <c r="K2" s="320" t="s">
        <v>2367</v>
      </c>
      <c r="L2" s="320" t="s">
        <v>2367</v>
      </c>
      <c r="M2" s="320" t="s">
        <v>2368</v>
      </c>
      <c r="N2" s="320" t="b">
        <v>1</v>
      </c>
      <c r="O2" s="320" t="s">
        <v>2369</v>
      </c>
      <c r="P2" s="320" t="b">
        <v>0</v>
      </c>
      <c r="R2" s="320" t="b">
        <v>1</v>
      </c>
      <c r="S2" s="320" t="b">
        <v>0</v>
      </c>
      <c r="X2" s="320" t="b">
        <v>0</v>
      </c>
      <c r="AA2" s="320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2026-04-29T06:51:49Z</dcterms:modified>
</cp:coreProperties>
</file>