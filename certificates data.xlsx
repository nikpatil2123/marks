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1" sheetId="1" state="visible" r:id="rId1"/>
    <sheet name="2" sheetId="2" state="visible" r:id="rId2"/>
    <sheet name="3" sheetId="3" state="visible" r:id="rId3"/>
    <sheet name="NVScriptsProperties" sheetId="4" state="hidden" r:id="rId4"/>
    <sheet name="DO NOT DELETE - AutoCrat Job Se" sheetId="5" state="hidden" r:id="rId5"/>
    <sheet name="4" sheetId="6" state="visible" r:id="rId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<sst xmlns="http://schemas.openxmlformats.org/spreadsheetml/2006/main" count="3060" uniqueCount="3060">
  <si>
    <t xml:space="preserve">Program Name</t>
  </si>
  <si>
    <t xml:space="preserve">Name to be Printed on Certificate</t>
  </si>
  <si>
    <t>Subject</t>
  </si>
  <si>
    <t xml:space="preserve">Sr No</t>
  </si>
  <si>
    <t>Date</t>
  </si>
  <si>
    <t xml:space="preserve">Merged Doc ID - (1) E content certificate</t>
  </si>
  <si>
    <t xml:space="preserve">Merged Doc URL - (1) E content certificate</t>
  </si>
  <si>
    <t xml:space="preserve">Link to merged Doc - (1) E content certificate</t>
  </si>
  <si>
    <t xml:space="preserve">Document Merge Status - (1) E content certificate</t>
  </si>
  <si>
    <t>BBA</t>
  </si>
  <si>
    <t xml:space="preserve">Dr. Priyanka Purvang Pradhan</t>
  </si>
  <si>
    <t xml:space="preserve">Fundamentals of Accounting</t>
  </si>
  <si>
    <t>2526ECD0115</t>
  </si>
  <si>
    <t>1PuBg2d5StBYpYwuPsw6KcV7FCR_YQpHQ</t>
  </si>
  <si>
    <t>https://drive.google.com/file/d/1PuBg2d5StBYpYwuPsw6KcV7FCR_YQpHQ/view?usp=drivesdk</t>
  </si>
  <si>
    <t xml:space="preserve">Document successfully created; Document successfully merged; PDF created; Manually run by nirmita.patel27183@paruluniversity.ac.in; Timestamp: Apr 24 2026 2:28 AM</t>
  </si>
  <si>
    <t xml:space="preserve">Mr. Ankit Parmar</t>
  </si>
  <si>
    <t>Taxation</t>
  </si>
  <si>
    <t>2526ECD0116</t>
  </si>
  <si>
    <t>1KpxMKt4cOXKwNR3G5ytOYBkK9K6XOb1P</t>
  </si>
  <si>
    <t>https://drive.google.com/file/d/1KpxMKt4cOXKwNR3G5ytOYBkK9K6XOb1P/view?usp=drivesdk</t>
  </si>
  <si>
    <t xml:space="preserve">Document successfully created; Document successfully merged; PDF created; Manually run by nirmita.patel27183@paruluniversity.ac.in; Timestamp: Apr 24 2026 2:29 AM</t>
  </si>
  <si>
    <t xml:space="preserve">Ms.Shveta Shah</t>
  </si>
  <si>
    <t xml:space="preserve">Human Resource Management</t>
  </si>
  <si>
    <t>2526ECD0117</t>
  </si>
  <si>
    <t>14ugOgjSZfG1bTo9T-aWR3RHMKQLe82WU</t>
  </si>
  <si>
    <t>https://drive.google.com/file/d/14ugOgjSZfG1bTo9T-aWR3RHMKQLe82WU/view?usp=drivesdk</t>
  </si>
  <si>
    <t xml:space="preserve">Dr. Charu Goyal</t>
  </si>
  <si>
    <t xml:space="preserve">Research Methodology</t>
  </si>
  <si>
    <t>2526ECD0118</t>
  </si>
  <si>
    <t>1kqEfLQ6rl51-5USLK5M3MAmg2mzQtGg7</t>
  </si>
  <si>
    <t>https://drive.google.com/file/d/1kqEfLQ6rl51-5USLK5M3MAmg2mzQtGg7/view?usp=drivesdk</t>
  </si>
  <si>
    <t xml:space="preserve">Mr.Prabhakar Bethapudi </t>
  </si>
  <si>
    <t xml:space="preserve">Business Data Analytics</t>
  </si>
  <si>
    <t>2526ECD0119</t>
  </si>
  <si>
    <t>1GTI5GKF8vVK1bKkWrnJe_qg5ggQBNe3U</t>
  </si>
  <si>
    <t>https://drive.google.com/file/d/1GTI5GKF8vVK1bKkWrnJe_qg5ggQBNe3U/view?usp=drivesdk</t>
  </si>
  <si>
    <t xml:space="preserve">Ms. Unnati Gandhi</t>
  </si>
  <si>
    <t xml:space="preserve">HRM : Compensation Management</t>
  </si>
  <si>
    <t>2526ECD0120</t>
  </si>
  <si>
    <t>15NW8Vodm6kXrtZKVBMt3OkA9jkXzsmEz</t>
  </si>
  <si>
    <t>https://drive.google.com/file/d/15NW8Vodm6kXrtZKVBMt3OkA9jkXzsmEz/view?usp=drivesdk</t>
  </si>
  <si>
    <t xml:space="preserve">Document successfully created; Document successfully merged; PDF created; Manually run by nirmita.patel27183@paruluniversity.ac.in; Timestamp: Apr 24 2026 2:36 AM</t>
  </si>
  <si>
    <t xml:space="preserve">Mr.Mahendra Patel</t>
  </si>
  <si>
    <t xml:space="preserve">Finance : Merger and Acquisition</t>
  </si>
  <si>
    <t>2526ECD0121</t>
  </si>
  <si>
    <t>1DlkhZC6zx4X1ePRf8Y8uhMcxD0qR-4Bi</t>
  </si>
  <si>
    <t>https://drive.google.com/file/d/1DlkhZC6zx4X1ePRf8Y8uhMcxD0qR-4Bi/view?usp=drivesdk</t>
  </si>
  <si>
    <t xml:space="preserve">Document successfully created; Document successfully merged; PDF created; Manually run by nirmita.patel27183@paruluniversity.ac.in; Timestamp: Apr 24 2026 2:40 AM</t>
  </si>
  <si>
    <t xml:space="preserve">Mr. Amit Rathod</t>
  </si>
  <si>
    <t xml:space="preserve">IB: Import Export Management</t>
  </si>
  <si>
    <t>2526ECD0122</t>
  </si>
  <si>
    <t>1x1krMYK8FGAgL9BfX1-YAS-GXx8Rd9od</t>
  </si>
  <si>
    <t>https://drive.google.com/file/d/1x1krMYK8FGAgL9BfX1-YAS-GXx8Rd9od/view?usp=drivesdk</t>
  </si>
  <si>
    <t xml:space="preserve">Document successfully created; Document successfully merged; PDF created; Manually run by nirmita.patel27183@paruluniversity.ac.in; Timestamp: Apr 24 2026 2:30 AM</t>
  </si>
  <si>
    <t xml:space="preserve">Ms. Manasi Patel </t>
  </si>
  <si>
    <t xml:space="preserve">Business Economics – Micro</t>
  </si>
  <si>
    <t>2526ECD0123</t>
  </si>
  <si>
    <t>1YkZnJ4ro9JhZ5rUfvkQkMML_CVT19In0</t>
  </si>
  <si>
    <t>https://drive.google.com/file/d/1YkZnJ4ro9JhZ5rUfvkQkMML_CVT19In0/view?usp=drivesdk</t>
  </si>
  <si>
    <t xml:space="preserve">Dr. Bansi pandya</t>
  </si>
  <si>
    <t xml:space="preserve">Business Communication</t>
  </si>
  <si>
    <t>2526ECD0124</t>
  </si>
  <si>
    <t>11JU-V0FKj7GE9x_svf3Zfd9rU_p2E5J5</t>
  </si>
  <si>
    <t>https://drive.google.com/file/d/11JU-V0FKj7GE9x_svf3Zfd9rU_p2E5J5/view?usp=drivesdk</t>
  </si>
  <si>
    <t xml:space="preserve">Mr. Jitin Kumar</t>
  </si>
  <si>
    <t xml:space="preserve">Marketing Management</t>
  </si>
  <si>
    <t>2526ECD0125</t>
  </si>
  <si>
    <t>1pai4CI2hhtKUL-IUqV0Yh4owP9umVJUg</t>
  </si>
  <si>
    <t>https://drive.google.com/file/d/1pai4CI2hhtKUL-IUqV0Yh4owP9umVJUg/view?usp=drivesdk</t>
  </si>
  <si>
    <t xml:space="preserve">Ms. Priyanka Patel</t>
  </si>
  <si>
    <t>2526ECD0126</t>
  </si>
  <si>
    <t>1p5WBdZuOA21rpQiHGMUa0ZE03zMqZXhv</t>
  </si>
  <si>
    <t>https://drive.google.com/file/d/1p5WBdZuOA21rpQiHGMUa0ZE03zMqZXhv/view?usp=drivesdk</t>
  </si>
  <si>
    <t xml:space="preserve">Ms. Kajal Gandhi</t>
  </si>
  <si>
    <t xml:space="preserve">Finance for Manager</t>
  </si>
  <si>
    <t>2526ECD0127</t>
  </si>
  <si>
    <t>1DTlcTiht5Ouj5MUwgm0iefzbMjtGECoI</t>
  </si>
  <si>
    <t>https://drive.google.com/file/d/1DTlcTiht5Ouj5MUwgm0iefzbMjtGECoI/view?usp=drivesdk</t>
  </si>
  <si>
    <t xml:space="preserve">Document successfully created; Document successfully merged; PDF created; Manually run by nirmita.patel27183@paruluniversity.ac.in; Timestamp: Apr 24 2026 2:31 AM</t>
  </si>
  <si>
    <t xml:space="preserve">Mr. Nadeem Rizvi</t>
  </si>
  <si>
    <t xml:space="preserve">Personality Development – I</t>
  </si>
  <si>
    <t>2526ECD0128</t>
  </si>
  <si>
    <t>13euunsFUSRbNUSAV1bdCB1UN_oSxKwcq</t>
  </si>
  <si>
    <t>https://drive.google.com/file/d/13euunsFUSRbNUSAV1bdCB1UN_oSxKwcq/view?usp=drivesdk</t>
  </si>
  <si>
    <t xml:space="preserve">Mr.Shivam Shukla</t>
  </si>
  <si>
    <t xml:space="preserve">Physical Education – I</t>
  </si>
  <si>
    <t>2526ECD0129</t>
  </si>
  <si>
    <t>1Ot_S0yHVyIkjWxiopnd_MQ2TA0Q3EGoD</t>
  </si>
  <si>
    <t>https://drive.google.com/file/d/1Ot_S0yHVyIkjWxiopnd_MQ2TA0Q3EGoD/view?usp=drivesdk</t>
  </si>
  <si>
    <t xml:space="preserve">Ms.Mistry Pooja </t>
  </si>
  <si>
    <t xml:space="preserve">Organization of Commerce – I</t>
  </si>
  <si>
    <t>2526ECD0130</t>
  </si>
  <si>
    <t>1ZYHVRvKMlV4j3K4gMffuHS3WYuAYrJDQ</t>
  </si>
  <si>
    <t>https://drive.google.com/file/d/1ZYHVRvKMlV4j3K4gMffuHS3WYuAYrJDQ/view?usp=drivesdk</t>
  </si>
  <si>
    <t xml:space="preserve">Ms. Ketki Naik</t>
  </si>
  <si>
    <t xml:space="preserve">Fundamentals of Economics</t>
  </si>
  <si>
    <t>2526ECD0131</t>
  </si>
  <si>
    <t>1gssyKJmRAltP2gY55wMGZCEbn7MNMM8r</t>
  </si>
  <si>
    <t>https://drive.google.com/file/d/1gssyKJmRAltP2gY55wMGZCEbn7MNMM8r/view?usp=drivesdk</t>
  </si>
  <si>
    <t>Commerce</t>
  </si>
  <si>
    <t xml:space="preserve">Dr. Parth Chhabra</t>
  </si>
  <si>
    <t xml:space="preserve">Micro Economics</t>
  </si>
  <si>
    <t>2526ECD0132</t>
  </si>
  <si>
    <t>1aIVFf4U5rWG6QA3MMo7l3TC9YhdHrM5C</t>
  </si>
  <si>
    <t>https://drive.google.com/file/d/1aIVFf4U5rWG6QA3MMo7l3TC9YhdHrM5C/view?usp=drivesdk</t>
  </si>
  <si>
    <t xml:space="preserve">Document successfully created; Document successfully merged; PDF created; Manually run by nirmita.patel27183@paruluniversity.ac.in; Timestamp: Apr 24 2026 2:46 AM</t>
  </si>
  <si>
    <t xml:space="preserve">Ms. Meeral Tank</t>
  </si>
  <si>
    <t xml:space="preserve">Banking &amp; Insurance: Principles of Banking &amp; Insurance</t>
  </si>
  <si>
    <t>2526ECD0133</t>
  </si>
  <si>
    <t>1URAOFXnwwHVX-kVGUCsjFuGQKNnK9BYY</t>
  </si>
  <si>
    <t>https://drive.google.com/file/d/1URAOFXnwwHVX-kVGUCsjFuGQKNnK9BYY/view?usp=drivesdk</t>
  </si>
  <si>
    <t xml:space="preserve">Dr. Ritesh Patel</t>
  </si>
  <si>
    <t xml:space="preserve">Financial Management</t>
  </si>
  <si>
    <t>2526ECD0134</t>
  </si>
  <si>
    <t>1_hg58-TS-0OBRKfh693vsF40FNhthdSv</t>
  </si>
  <si>
    <t>https://drive.google.com/file/d/1_hg58-TS-0OBRKfh693vsF40FNhthdSv/view?usp=drivesdk</t>
  </si>
  <si>
    <t xml:space="preserve">Mr. Ravindra Parmar</t>
  </si>
  <si>
    <t xml:space="preserve">Fundamentals of Indirect Taxation &amp; GST</t>
  </si>
  <si>
    <t>2526ECD0135</t>
  </si>
  <si>
    <t>1m3cTb-hPgjCWS9w3VwycBINDjt9cGibc</t>
  </si>
  <si>
    <t>https://drive.google.com/file/d/1m3cTb-hPgjCWS9w3VwycBINDjt9cGibc/view?usp=drivesdk</t>
  </si>
  <si>
    <t xml:space="preserve">Mr. Yogesh Narayan</t>
  </si>
  <si>
    <t xml:space="preserve">Business Law</t>
  </si>
  <si>
    <t>2526ECD0136</t>
  </si>
  <si>
    <t>12McULl2553Az5axxsFAwOVZeEF7klmzi</t>
  </si>
  <si>
    <t>https://drive.google.com/file/d/12McULl2553Az5axxsFAwOVZeEF7klmzi/view?usp=drivesdk</t>
  </si>
  <si>
    <t xml:space="preserve">Ms. Ankita Tiwari</t>
  </si>
  <si>
    <t xml:space="preserve">Human Resource Management: Compensation and Management</t>
  </si>
  <si>
    <t>2526ECD0137</t>
  </si>
  <si>
    <t>1r3rVdCs-PV46S2Hf81fYLLaThsoaCoD7</t>
  </si>
  <si>
    <t>https://drive.google.com/file/d/1r3rVdCs-PV46S2Hf81fYLLaThsoaCoD7/view?usp=drivesdk</t>
  </si>
  <si>
    <t xml:space="preserve">Document successfully created; Document successfully merged; PDF created; Manually run by nirmita.patel27183@paruluniversity.ac.in; Timestamp: Apr 24 2026 2:47 AM</t>
  </si>
  <si>
    <t xml:space="preserve">Dr. Nidhi Nalwaya</t>
  </si>
  <si>
    <t xml:space="preserve">Banking &amp; Insurance: Health Insurance</t>
  </si>
  <si>
    <t>2526ECD0138</t>
  </si>
  <si>
    <t>1cP-WoG9gTv7g0XwUw6desx-o2_auSfL9</t>
  </si>
  <si>
    <t>https://drive.google.com/file/d/1cP-WoG9gTv7g0XwUw6desx-o2_auSfL9/view?usp=drivesdk</t>
  </si>
  <si>
    <t xml:space="preserve">Ms. Poorvaraj Vaghela</t>
  </si>
  <si>
    <t xml:space="preserve">Marketing: Strategic Brand Management</t>
  </si>
  <si>
    <t>2526ECD0139</t>
  </si>
  <si>
    <t>13FWd3fpIoESTeaRbGABZG6wJGzzxcDGP</t>
  </si>
  <si>
    <t>https://drive.google.com/file/d/13FWd3fpIoESTeaRbGABZG6wJGzzxcDGP/view?usp=drivesdk</t>
  </si>
  <si>
    <t xml:space="preserve">Dr. Ashwinkumar A. Patel</t>
  </si>
  <si>
    <t xml:space="preserve">Human Resource Management: Industrial Relationship &amp; Personal Management</t>
  </si>
  <si>
    <t>2526ECD0140</t>
  </si>
  <si>
    <t>1T4luGPPPe1HDPSRIhMh9RbkL5_LKdlVF</t>
  </si>
  <si>
    <t>https://drive.google.com/file/d/1T4luGPPPe1HDPSRIhMh9RbkL5_LKdlVF/view?usp=drivesdk</t>
  </si>
  <si>
    <t xml:space="preserve">Dr. Isha Derashri</t>
  </si>
  <si>
    <t xml:space="preserve">Banking &amp; Insurance: Banking &amp; Insurance Compliance and Governance</t>
  </si>
  <si>
    <t>2526ECD0141</t>
  </si>
  <si>
    <t>1eX5_PXsQY6agSsLhq0fqqU0KeEw2blw2</t>
  </si>
  <si>
    <t>https://drive.google.com/file/d/1eX5_PXsQY6agSsLhq0fqqU0KeEw2blw2/view?usp=drivesdk</t>
  </si>
  <si>
    <t>PIET</t>
  </si>
  <si>
    <t xml:space="preserve">Mr. Digesh Shah</t>
  </si>
  <si>
    <t xml:space="preserve">Analog Electronics Circuits</t>
  </si>
  <si>
    <t>2526ECD0178</t>
  </si>
  <si>
    <t>1gWiMpnq3pBaRjokxFAdpDi8AEjkknCbS</t>
  </si>
  <si>
    <t>https://drive.google.com/file/d/1gWiMpnq3pBaRjokxFAdpDi8AEjkknCbS/view?usp=drivesdk</t>
  </si>
  <si>
    <t xml:space="preserve">Document successfully created; Document successfully merged; PDF created; Manually run by nirmita.patel27183@paruluniversity.ac.in; Timestamp: Apr 24 2026 4:45 AM</t>
  </si>
  <si>
    <t xml:space="preserve">M Krishnam Raju</t>
  </si>
  <si>
    <t xml:space="preserve">Bio Medical Electronics</t>
  </si>
  <si>
    <t>2526ECD0179</t>
  </si>
  <si>
    <t>1P-K_a-6fZ7ESaRUwHJXzJyI2OTffGsQs</t>
  </si>
  <si>
    <t>https://drive.google.com/file/d/1P-K_a-6fZ7ESaRUwHJXzJyI2OTffGsQs/view?usp=drivesdk</t>
  </si>
  <si>
    <t xml:space="preserve">Ms. Sona D Solanki</t>
  </si>
  <si>
    <t xml:space="preserve">Artificial Intelligence </t>
  </si>
  <si>
    <t>2526ECD0180</t>
  </si>
  <si>
    <t>1HAkDfBT0WdddZiWZLQenP3KTueA28fr6</t>
  </si>
  <si>
    <t>https://drive.google.com/file/d/1HAkDfBT0WdddZiWZLQenP3KTueA28fr6/view?usp=drivesdk</t>
  </si>
  <si>
    <t xml:space="preserve">Mr. Lakhan</t>
  </si>
  <si>
    <t xml:space="preserve">Full stack Development using Python</t>
  </si>
  <si>
    <t>2526ECD0181</t>
  </si>
  <si>
    <t>1baDvqcylK_RPmyZtoIv98miegzH2TASq</t>
  </si>
  <si>
    <t>https://drive.google.com/file/d/1baDvqcylK_RPmyZtoIv98miegzH2TASq/view?usp=drivesdk</t>
  </si>
  <si>
    <t xml:space="preserve">Mr. Vikas Sharma</t>
  </si>
  <si>
    <t xml:space="preserve">Cloud Foundation </t>
  </si>
  <si>
    <t>2526ECD0182</t>
  </si>
  <si>
    <t>1R16fSOL6ojUaOpbDeD170peuOr0IBb3N</t>
  </si>
  <si>
    <t>https://drive.google.com/file/d/1R16fSOL6ojUaOpbDeD170peuOr0IBb3N/view?usp=drivesdk</t>
  </si>
  <si>
    <t xml:space="preserve">Mr. Ravi </t>
  </si>
  <si>
    <t xml:space="preserve">Principles of Operating System</t>
  </si>
  <si>
    <t>2526ECD0183</t>
  </si>
  <si>
    <t>1Jntrmes_6k6PqPSBN2yLp10lMNVhi_At</t>
  </si>
  <si>
    <t>https://drive.google.com/file/d/1Jntrmes_6k6PqPSBN2yLp10lMNVhi_At/view?usp=drivesdk</t>
  </si>
  <si>
    <t xml:space="preserve">Dr. K. Himabindu</t>
  </si>
  <si>
    <t xml:space="preserve">Design of Data Structures</t>
  </si>
  <si>
    <t>2526ECD0184</t>
  </si>
  <si>
    <t>1CgTm4vN_iiHiuf9z4M5xLxrwh5L5a-Tm</t>
  </si>
  <si>
    <t>https://drive.google.com/file/d/1CgTm4vN_iiHiuf9z4M5xLxrwh5L5a-Tm/view?usp=drivesdk</t>
  </si>
  <si>
    <t xml:space="preserve">Dr. Bharti Shalunke</t>
  </si>
  <si>
    <t xml:space="preserve">Programming in Python with Full Stack Development</t>
  </si>
  <si>
    <t>2526ECD0186</t>
  </si>
  <si>
    <t>14xjUOjNFCZphi9t6CiwN5RUSI_hQ_JhD</t>
  </si>
  <si>
    <t>https://drive.google.com/file/d/14xjUOjNFCZphi9t6CiwN5RUSI_hQ_JhD/view?usp=drivesdk</t>
  </si>
  <si>
    <t xml:space="preserve">Document successfully created; Document successfully merged; PDF created; Manually run by nirmita.patel27183@paruluniversity.ac.in; Timestamp: Apr 24 2026 4:46 AM</t>
  </si>
  <si>
    <t xml:space="preserve">Dr. Harish Prajapati </t>
  </si>
  <si>
    <t xml:space="preserve">Programming for Problem Solving</t>
  </si>
  <si>
    <t>2526ECD0187</t>
  </si>
  <si>
    <t>1pG3JPAsHJIMFVf592r2h5jvvqBwb42WG</t>
  </si>
  <si>
    <t>https://drive.google.com/file/d/1pG3JPAsHJIMFVf592r2h5jvvqBwb42WG/view?usp=drivesdk</t>
  </si>
  <si>
    <t xml:space="preserve">Dr. Sandeep Wadekar </t>
  </si>
  <si>
    <t xml:space="preserve">Operating system </t>
  </si>
  <si>
    <t>2526ECD0188</t>
  </si>
  <si>
    <t>1Le0NYFSPp8dOuLnpDkTrIekaU41fHQVN</t>
  </si>
  <si>
    <t>https://drive.google.com/file/d/1Le0NYFSPp8dOuLnpDkTrIekaU41fHQVN/view?usp=drivesdk</t>
  </si>
  <si>
    <t xml:space="preserve">Dr. Rohit</t>
  </si>
  <si>
    <t>2526ECD0192</t>
  </si>
  <si>
    <t>1UGZaxVmJd_XB3ntsKnL-POnLp8c3eh3E</t>
  </si>
  <si>
    <t>https://drive.google.com/file/d/1UGZaxVmJd_XB3ntsKnL-POnLp8c3eh3E/view?usp=drivesdk</t>
  </si>
  <si>
    <t xml:space="preserve">Prof. Arnab Mandal</t>
  </si>
  <si>
    <t xml:space="preserve">Foundational AWS Cloud Skills</t>
  </si>
  <si>
    <t>2526ECD0193</t>
  </si>
  <si>
    <t>1ePggrgAkAmjpULgXD8bKbQFmPoqfCzug</t>
  </si>
  <si>
    <t>https://drive.google.com/file/d/1ePggrgAkAmjpULgXD8bKbQFmPoqfCzug/view?usp=drivesdk</t>
  </si>
  <si>
    <t xml:space="preserve">Dr. Vikram Kaushik</t>
  </si>
  <si>
    <t xml:space="preserve">Information and Network Security</t>
  </si>
  <si>
    <t>2526ECD0194</t>
  </si>
  <si>
    <t>18yADQQSA0MTxjBO4xzkb3GHDIc3aY2Tc</t>
  </si>
  <si>
    <t>https://drive.google.com/file/d/18yADQQSA0MTxjBO4xzkb3GHDIc3aY2Tc/view?usp=drivesdk</t>
  </si>
  <si>
    <t xml:space="preserve">Document successfully created; Document successfully merged; PDF created; Manually run by nirmita.patel27183@paruluniversity.ac.in; Timestamp: Apr 24 2026 4:47 AM</t>
  </si>
  <si>
    <t xml:space="preserve">Dr. A. Nithya</t>
  </si>
  <si>
    <t xml:space="preserve">MEARN Stack Web Development</t>
  </si>
  <si>
    <t>2526ECD0195</t>
  </si>
  <si>
    <t>1zTrS1gvSa8i85Bl_0XlVfwrmcUpN29Cx</t>
  </si>
  <si>
    <t>https://drive.google.com/file/d/1zTrS1gvSa8i85Bl_0XlVfwrmcUpN29Cx/view?usp=drivesdk</t>
  </si>
  <si>
    <t xml:space="preserve">Dr Farooqui Yassir Afsar Gazala</t>
  </si>
  <si>
    <t xml:space="preserve">Enterprise Programming using Java</t>
  </si>
  <si>
    <t>2526ECD0196</t>
  </si>
  <si>
    <t>1Ve6OfxmDxoBUaRJWkuJNkCJCDECjvtXE</t>
  </si>
  <si>
    <t>https://drive.google.com/file/d/1Ve6OfxmDxoBUaRJWkuJNkCJCDECjvtXE/view?usp=drivesdk</t>
  </si>
  <si>
    <t xml:space="preserve">PIET DS</t>
  </si>
  <si>
    <t xml:space="preserve">Mr. S.G. Khokhar</t>
  </si>
  <si>
    <t xml:space="preserve">Building Design and Drafting</t>
  </si>
  <si>
    <t>2526ECD0197</t>
  </si>
  <si>
    <t>1LN1-oYBc53fssG6j2Pdv2DdoSnUv_pLY</t>
  </si>
  <si>
    <t>https://drive.google.com/file/d/1LN1-oYBc53fssG6j2Pdv2DdoSnUv_pLY/view?usp=drivesdk</t>
  </si>
  <si>
    <t xml:space="preserve">Document successfully created; Document successfully merged; PDF created; Manually run by nirmita.patel27183@paruluniversity.ac.in; Timestamp: Apr 24 2026 5:08 AM</t>
  </si>
  <si>
    <t xml:space="preserve">Mr. Rajesh Gadhvi</t>
  </si>
  <si>
    <t xml:space="preserve">Electronics Devices and Circuits</t>
  </si>
  <si>
    <t>2526ECD0198</t>
  </si>
  <si>
    <t>134ay4Qe7VLnDjxPm0pYS81bHKoePlN4c</t>
  </si>
  <si>
    <t>https://drive.google.com/file/d/134ay4Qe7VLnDjxPm0pYS81bHKoePlN4c/view?usp=drivesdk</t>
  </si>
  <si>
    <t xml:space="preserve">Document successfully created; Document successfully merged; PDF created; Manually run by nirmita.patel27183@paruluniversity.ac.in; Timestamp: Apr 24 2026 5:09 AM</t>
  </si>
  <si>
    <t>PIHMCT</t>
  </si>
  <si>
    <t xml:space="preserve">Mr. MITEN PANDYA</t>
  </si>
  <si>
    <t xml:space="preserve">Fundamentals of Aviation</t>
  </si>
  <si>
    <t>2526ECD0213</t>
  </si>
  <si>
    <t>1yzyE7qxLV3bvQz8z4npLKRU38WwAa1xK</t>
  </si>
  <si>
    <t>https://drive.google.com/file/d/1yzyE7qxLV3bvQz8z4npLKRU38WwAa1xK/view?usp=drivesdk</t>
  </si>
  <si>
    <t xml:space="preserve">Document successfully created; Document successfully merged; PDF created; Manually run by nirmita.patel27183@paruluniversity.ac.in; Timestamp: Apr 24 2026 5:53 AM</t>
  </si>
  <si>
    <t xml:space="preserve">Mr. SAURABH AWASTHI</t>
  </si>
  <si>
    <t xml:space="preserve">Principles of Food Production -I</t>
  </si>
  <si>
    <t>2526ECD0214</t>
  </si>
  <si>
    <t>1960LS-JW3WPc0Vqh7uA5afmBoD37CAfR</t>
  </si>
  <si>
    <t>https://drive.google.com/file/d/1960LS-JW3WPc0Vqh7uA5afmBoD37CAfR/view?usp=drivesdk</t>
  </si>
  <si>
    <t xml:space="preserve">Ms. TULIKA THAKUR</t>
  </si>
  <si>
    <t xml:space="preserve">Introduction To Front Office</t>
  </si>
  <si>
    <t>2526ECD0215</t>
  </si>
  <si>
    <t>10ijkKGr2Bf9O72fmph3SkT7Pee4UNcCw</t>
  </si>
  <si>
    <t>https://drive.google.com/file/d/10ijkKGr2Bf9O72fmph3SkT7Pee4UNcCw/view?usp=drivesdk</t>
  </si>
  <si>
    <t xml:space="preserve">Principles of Front Office</t>
  </si>
  <si>
    <t>2526ECD0216</t>
  </si>
  <si>
    <t>1Ht-I2zwSe3Eu01lI4J1rKngj7xpHbd4H</t>
  </si>
  <si>
    <t>https://drive.google.com/file/d/1Ht-I2zwSe3Eu01lI4J1rKngj7xpHbd4H/view?usp=drivesdk</t>
  </si>
  <si>
    <t xml:space="preserve">Document successfully created; Document successfully merged; PDF created; Manually run by nirmita.patel27183@paruluniversity.ac.in; Timestamp: Apr 24 2026 5:54 AM</t>
  </si>
  <si>
    <t xml:space="preserve">Ms. PARUL CHAUHAN</t>
  </si>
  <si>
    <t xml:space="preserve">Introduction to Accommodation Operation</t>
  </si>
  <si>
    <t>2526ECD0217</t>
  </si>
  <si>
    <t>1aFSIfrtg-z6xdkiqoX1l1DH-v0hmpsRm</t>
  </si>
  <si>
    <t>https://drive.google.com/file/d/1aFSIfrtg-z6xdkiqoX1l1DH-v0hmpsRm/view?usp=drivesdk</t>
  </si>
  <si>
    <t xml:space="preserve">Basics of Accomodation Operation - I</t>
  </si>
  <si>
    <t>2526ECD0218</t>
  </si>
  <si>
    <t>1FeFgatpvovkkdMfkA-DNuMtWXIMOp5wx</t>
  </si>
  <si>
    <t>https://drive.google.com/file/d/1FeFgatpvovkkdMfkA-DNuMtWXIMOp5wx/view?usp=drivesdk</t>
  </si>
  <si>
    <t xml:space="preserve">DR. BINDU</t>
  </si>
  <si>
    <t xml:space="preserve">Tourism In India and World</t>
  </si>
  <si>
    <t>2526ECD0219</t>
  </si>
  <si>
    <t>1zzyBJz_wgsLx9Dq7QuNmdSg_WFUElPFW</t>
  </si>
  <si>
    <t>https://drive.google.com/file/d/1zzyBJz_wgsLx9Dq7QuNmdSg_WFUElPFW/view?usp=drivesdk</t>
  </si>
  <si>
    <t xml:space="preserve">Principles of Travel &amp; Tourism</t>
  </si>
  <si>
    <t>2526ECD0220</t>
  </si>
  <si>
    <t>1pwQ_6VYDLFhgHIF7IV77ZSwFPmvUjysV</t>
  </si>
  <si>
    <t>https://drive.google.com/file/d/1pwQ_6VYDLFhgHIF7IV77ZSwFPmvUjysV/view?usp=drivesdk</t>
  </si>
  <si>
    <t xml:space="preserve">Mr. NEERAJ KATYAL</t>
  </si>
  <si>
    <t xml:space="preserve">Front Office Operations (THEORY)</t>
  </si>
  <si>
    <t>2526ECD0221</t>
  </si>
  <si>
    <t>1FaYRAegO1XybUQbMQQKvCUF6i3FfjcLB</t>
  </si>
  <si>
    <t>https://drive.google.com/file/d/1FaYRAegO1XybUQbMQQKvCUF6i3FfjcLB/view?usp=drivesdk</t>
  </si>
  <si>
    <t xml:space="preserve">Introduction to Inflight catering</t>
  </si>
  <si>
    <t>2526ECD0222</t>
  </si>
  <si>
    <t>1-Dz3Jbqtc1Bq164j1WmraehTEZB0_cw0</t>
  </si>
  <si>
    <t>https://drive.google.com/file/d/1-Dz3Jbqtc1Bq164j1WmraehTEZB0_cw0/view?usp=drivesdk</t>
  </si>
  <si>
    <t xml:space="preserve">Food Production Functions-I</t>
  </si>
  <si>
    <t>2526ECD0223</t>
  </si>
  <si>
    <t>1x_dSj-a7JABsxkAb1HtYHtZDkt6L3D7A</t>
  </si>
  <si>
    <t>https://drive.google.com/file/d/1x_dSj-a7JABsxkAb1HtYHtZDkt6L3D7A/view?usp=drivesdk</t>
  </si>
  <si>
    <t xml:space="preserve">Document successfully created; Document successfully merged; PDF created; Manually run by nirmita.patel27183@paruluniversity.ac.in; Timestamp: Apr 24 2026 5:55 AM</t>
  </si>
  <si>
    <t xml:space="preserve">Mr. ARPIT SAMNANI</t>
  </si>
  <si>
    <t xml:space="preserve">Food Production Operations</t>
  </si>
  <si>
    <t>2526ECD0224</t>
  </si>
  <si>
    <t>1pvT1U091GHU_ntfdxo2YfpsMxK776aZq</t>
  </si>
  <si>
    <t>https://drive.google.com/file/d/1pvT1U091GHU_ntfdxo2YfpsMxK776aZq/view?usp=drivesdk</t>
  </si>
  <si>
    <t xml:space="preserve">Ms. MINAKSHI MESHRAM</t>
  </si>
  <si>
    <t xml:space="preserve">Personality development and grooming</t>
  </si>
  <si>
    <t>2526ECD0225</t>
  </si>
  <si>
    <t>1kfBx9Ldte_ASPPrrv42s7UA1c5kW1xsJ</t>
  </si>
  <si>
    <t>https://drive.google.com/file/d/1kfBx9Ldte_ASPPrrv42s7UA1c5kW1xsJ/view?usp=drivesdk</t>
  </si>
  <si>
    <t xml:space="preserve">MK MURUGESH</t>
  </si>
  <si>
    <t xml:space="preserve">Foundation in Food &amp; Beverage Production II</t>
  </si>
  <si>
    <t>2526ECD0226</t>
  </si>
  <si>
    <t>1oKOeID3ZYoMVZGgvOi6wHc12vSCPmNl7</t>
  </si>
  <si>
    <t>https://drive.google.com/file/d/1oKOeID3ZYoMVZGgvOi6wHc12vSCPmNl7/view?usp=drivesdk</t>
  </si>
  <si>
    <t xml:space="preserve">Mr. KAPIL MEHTA</t>
  </si>
  <si>
    <t xml:space="preserve">Foundation in Food &amp; Beverage Service II</t>
  </si>
  <si>
    <t>2526ECD0227</t>
  </si>
  <si>
    <t>11KOY_rXL6gJbvVrOd4NTNDAiFBBHv26t</t>
  </si>
  <si>
    <t>https://drive.google.com/file/d/11KOY_rXL6gJbvVrOd4NTNDAiFBBHv26t/view?usp=drivesdk</t>
  </si>
  <si>
    <t xml:space="preserve">Mr. TIRTHANK RINDANI</t>
  </si>
  <si>
    <t xml:space="preserve">Front Office Operation-II</t>
  </si>
  <si>
    <t>2526ECD0228</t>
  </si>
  <si>
    <t>1ZyF-ej9wWMQjBWfY900uHIbeIX9DsBpS</t>
  </si>
  <si>
    <t>https://drive.google.com/file/d/1ZyF-ej9wWMQjBWfY900uHIbeIX9DsBpS/view?usp=drivesdk</t>
  </si>
  <si>
    <t xml:space="preserve">Mr. UDAIDIP CHAUHAN</t>
  </si>
  <si>
    <t xml:space="preserve">Sales And Marketing</t>
  </si>
  <si>
    <t>2526ECD0229</t>
  </si>
  <si>
    <t>1pivobEhhoi_nDfWgz14g-tMF7xHEYA0Y</t>
  </si>
  <si>
    <t>https://drive.google.com/file/d/1pivobEhhoi_nDfWgz14g-tMF7xHEYA0Y/view?usp=drivesdk</t>
  </si>
  <si>
    <t>LAW</t>
  </si>
  <si>
    <t xml:space="preserve">Ms.Pallavi Singh</t>
  </si>
  <si>
    <t xml:space="preserve">Law of Torts including Motor Vehicle Act</t>
  </si>
  <si>
    <t>2526ECD0230</t>
  </si>
  <si>
    <t>1iZNuaH0yb3Pgi4MeHzRV9kD7MMKpWQEW</t>
  </si>
  <si>
    <t>https://drive.google.com/file/d/1iZNuaH0yb3Pgi4MeHzRV9kD7MMKpWQEW/view?usp=drivesdk</t>
  </si>
  <si>
    <t xml:space="preserve">Document successfully created; Document successfully merged; PDF created; Manually run by nirmita.patel27183@paruluniversity.ac.in; Timestamp: Apr 24 2026 6:00 AM</t>
  </si>
  <si>
    <t xml:space="preserve">Ms.Anubha Nair</t>
  </si>
  <si>
    <t xml:space="preserve">Contract – I: General Contracts</t>
  </si>
  <si>
    <t>2526ECD0231</t>
  </si>
  <si>
    <t>1kECdeAzTMsu8izBfdwJ3Im2u-WHLBHEI</t>
  </si>
  <si>
    <t>https://drive.google.com/file/d/1kECdeAzTMsu8izBfdwJ3Im2u-WHLBHEI/view?usp=drivesdk</t>
  </si>
  <si>
    <t xml:space="preserve">Ms Aditi Patel</t>
  </si>
  <si>
    <t xml:space="preserve">Introduction to Economics</t>
  </si>
  <si>
    <t>2526ECD0232</t>
  </si>
  <si>
    <t>1tKb_ZHRbblcRNdQvHgAvJo2A1iO6tz-d</t>
  </si>
  <si>
    <t>https://drive.google.com/file/d/1tKb_ZHRbblcRNdQvHgAvJo2A1iO6tz-d/view?usp=drivesdk</t>
  </si>
  <si>
    <t xml:space="preserve">Document successfully created; Document successfully merged; PDF created; Manually run by nirmita.patel27183@paruluniversity.ac.in; Timestamp: Apr 24 2026 6:01 AM</t>
  </si>
  <si>
    <t xml:space="preserve">Ms. Sreelakshmi</t>
  </si>
  <si>
    <t xml:space="preserve">English Language and Communication - I</t>
  </si>
  <si>
    <t>2526ECD0233</t>
  </si>
  <si>
    <t>1d6or0qvRhfI6gH_j581DLTO7u6jjFebB</t>
  </si>
  <si>
    <t>https://drive.google.com/file/d/1d6or0qvRhfI6gH_j581DLTO7u6jjFebB/view?usp=drivesdk</t>
  </si>
  <si>
    <t xml:space="preserve">Dr.Subair Kalathil</t>
  </si>
  <si>
    <t xml:space="preserve">Introduction to Sociology</t>
  </si>
  <si>
    <t>2526ECD0234</t>
  </si>
  <si>
    <t>1B7D9QqbxjY-vsc5n_zWti8Hc8czXVEQ5</t>
  </si>
  <si>
    <t>https://drive.google.com/file/d/1B7D9QqbxjY-vsc5n_zWti8Hc8czXVEQ5/view?usp=drivesdk</t>
  </si>
  <si>
    <t xml:space="preserve">Dr.Pritesh Panchal</t>
  </si>
  <si>
    <t xml:space="preserve">Fundamental of Accounting</t>
  </si>
  <si>
    <t>2526ECD0235</t>
  </si>
  <si>
    <t>1AGZJrrc6m1vkdYhCLTgM0YslqumCRLkw</t>
  </si>
  <si>
    <t>https://drive.google.com/file/d/1AGZJrrc6m1vkdYhCLTgM0YslqumCRLkw/view?usp=drivesdk</t>
  </si>
  <si>
    <t xml:space="preserve">Dr.Dhaval Zala</t>
  </si>
  <si>
    <t xml:space="preserve">Principles of Management</t>
  </si>
  <si>
    <t>2526ECD0236</t>
  </si>
  <si>
    <t>1HZSGJWRVVRCzbc90Tp9nSUgWyIdjLOZ3</t>
  </si>
  <si>
    <t>https://drive.google.com/file/d/1HZSGJWRVVRCzbc90Tp9nSUgWyIdjLOZ3/view?usp=drivesdk</t>
  </si>
  <si>
    <t xml:space="preserve">Mr. Ganesh Ji</t>
  </si>
  <si>
    <t>Constitution-I</t>
  </si>
  <si>
    <t>2526ECD0237</t>
  </si>
  <si>
    <t>1BPnfFSInEdrfPaVA8EHVibhTeBPM_I9b</t>
  </si>
  <si>
    <t>https://drive.google.com/file/d/1BPnfFSInEdrfPaVA8EHVibhTeBPM_I9b/view?usp=drivesdk</t>
  </si>
  <si>
    <t xml:space="preserve">Dr.Ruchi Tiwari</t>
  </si>
  <si>
    <t xml:space="preserve">Contract -I: General Contracts</t>
  </si>
  <si>
    <t>2526ECD0238</t>
  </si>
  <si>
    <t>1Ur0HrN52g2QXsaUtfaTCUqkniv8bsVoA</t>
  </si>
  <si>
    <t>https://drive.google.com/file/d/1Ur0HrN52g2QXsaUtfaTCUqkniv8bsVoA/view?usp=drivesdk</t>
  </si>
  <si>
    <t xml:space="preserve">Document successfully created; Document successfully merged; PDF created; Manually run by nirmita.patel27183@paruluniversity.ac.in; Timestamp: Apr 24 2026 6:02 AM</t>
  </si>
  <si>
    <t xml:space="preserve">Dr.Tanu Bharadwaj</t>
  </si>
  <si>
    <t xml:space="preserve">Contract -II: Special Contracts</t>
  </si>
  <si>
    <t>2526ECD0239</t>
  </si>
  <si>
    <t>1Z_tjxZxHb3ixmLGCKtUzDryB9T0GLGRJ</t>
  </si>
  <si>
    <t>https://drive.google.com/file/d/1Z_tjxZxHb3ixmLGCKtUzDryB9T0GLGRJ/view?usp=drivesdk</t>
  </si>
  <si>
    <t xml:space="preserve">Dr.Rajesh Singh</t>
  </si>
  <si>
    <t>2526ECD0240</t>
  </si>
  <si>
    <t>1NjFoYHr8MhpwqVHIfwMvmBm_-VFAXR8H</t>
  </si>
  <si>
    <t>https://drive.google.com/file/d/1NjFoYHr8MhpwqVHIfwMvmBm_-VFAXR8H/view?usp=drivesdk</t>
  </si>
  <si>
    <t xml:space="preserve">Ms. Vibhuti Shrivastava</t>
  </si>
  <si>
    <t xml:space="preserve">Legal Language</t>
  </si>
  <si>
    <t>2526ECD0241</t>
  </si>
  <si>
    <t>1Ofm2T21gR52Lk3JW2X60gnuQvlqDaUlS</t>
  </si>
  <si>
    <t>https://drive.google.com/file/d/1Ofm2T21gR52Lk3JW2X60gnuQvlqDaUlS/view?usp=drivesdk</t>
  </si>
  <si>
    <t xml:space="preserve">Ms.Dixita Suthar</t>
  </si>
  <si>
    <t>2526ECD0242</t>
  </si>
  <si>
    <t>1yVWEdwYKHFWXlq9fo8HMIr1iVNDeZAVq</t>
  </si>
  <si>
    <t>https://drive.google.com/file/d/1yVWEdwYKHFWXlq9fo8HMIr1iVNDeZAVq/view?usp=drivesdk</t>
  </si>
  <si>
    <t xml:space="preserve">Mr.Parth Trivedi</t>
  </si>
  <si>
    <t xml:space="preserve">Law of Crimes I : Bharatiya Nyaya Sanhita</t>
  </si>
  <si>
    <t>2526ECD0243</t>
  </si>
  <si>
    <t>1zsJOyb2Rhm7Bn5fAAgXKIGbr1r8sPhPy</t>
  </si>
  <si>
    <t>https://drive.google.com/file/d/1zsJOyb2Rhm7Bn5fAAgXKIGbr1r8sPhPy/view?usp=drivesdk</t>
  </si>
  <si>
    <t xml:space="preserve">Ms.Samta Kathuria</t>
  </si>
  <si>
    <t xml:space="preserve">Constitutional Law -II</t>
  </si>
  <si>
    <t>2526ECD0244</t>
  </si>
  <si>
    <t>1Mn4c3wRr-HSmwgfSKwFXqWy0FcFcToIU</t>
  </si>
  <si>
    <t>https://drive.google.com/file/d/1Mn4c3wRr-HSmwgfSKwFXqWy0FcFcToIU/view?usp=drivesdk</t>
  </si>
  <si>
    <t xml:space="preserve">Document successfully created; Document successfully merged; PDF created; Manually run by nirmita.patel27183@paruluniversity.ac.in; Timestamp: Apr 24 2026 6:03 AM</t>
  </si>
  <si>
    <t xml:space="preserve">Ms.Priya Nair</t>
  </si>
  <si>
    <t xml:space="preserve">Property Law and Easement</t>
  </si>
  <si>
    <t>2526ECD0245</t>
  </si>
  <si>
    <t>1_6WJC_DoSx8--JhZJAXYsWIz93n8XyNG</t>
  </si>
  <si>
    <t>https://drive.google.com/file/d/1_6WJC_DoSx8--JhZJAXYsWIz93n8XyNG/view?usp=drivesdk</t>
  </si>
  <si>
    <t xml:space="preserve">Ms.Aayushi Arora</t>
  </si>
  <si>
    <t xml:space="preserve">Administrative Law including RTI</t>
  </si>
  <si>
    <t>2526ECD0246</t>
  </si>
  <si>
    <t>1fSYC7owYtxSQE-xFd3C8rirCTb4T9PvZ</t>
  </si>
  <si>
    <t>https://drive.google.com/file/d/1fSYC7owYtxSQE-xFd3C8rirCTb4T9PvZ/view?usp=drivesdk</t>
  </si>
  <si>
    <t xml:space="preserve">Ms. Mahima Jacob</t>
  </si>
  <si>
    <t xml:space="preserve">Environmental Law</t>
  </si>
  <si>
    <t>2526ECD0247</t>
  </si>
  <si>
    <t>19C90fz0HciC1zXLXJL2aMLbMyew0emr0</t>
  </si>
  <si>
    <t>https://drive.google.com/file/d/19C90fz0HciC1zXLXJL2aMLbMyew0emr0/view?usp=drivesdk</t>
  </si>
  <si>
    <t>PISW</t>
  </si>
  <si>
    <t xml:space="preserve">Dr. Unnati Soni</t>
  </si>
  <si>
    <t xml:space="preserve">Urban Community Development</t>
  </si>
  <si>
    <t>2526ECD0248</t>
  </si>
  <si>
    <t>1eDqEm6JxLOK1m569fDZvOJS4s_TbzhZi</t>
  </si>
  <si>
    <t>https://drive.google.com/file/d/1eDqEm6JxLOK1m569fDZvOJS4s_TbzhZi/view?usp=drivesdk</t>
  </si>
  <si>
    <t xml:space="preserve">Document successfully created; Document successfully merged; PDF created; Manually run by nirmita.patel27183@paruluniversity.ac.in; Timestamp: Apr 24 2026 6:19 AM</t>
  </si>
  <si>
    <t xml:space="preserve">Ms. Shruti Bhonsle</t>
  </si>
  <si>
    <t xml:space="preserve">Introduction to Community Organisation and Social Action</t>
  </si>
  <si>
    <t>2526ECD0249</t>
  </si>
  <si>
    <t>1y5D7znTorGoHhS3q7FGd4zaoB_XrncXE</t>
  </si>
  <si>
    <t>https://drive.google.com/file/d/1y5D7znTorGoHhS3q7FGd4zaoB_XrncXE/view?usp=drivesdk</t>
  </si>
  <si>
    <t xml:space="preserve">Social Group Work</t>
  </si>
  <si>
    <t>2526ECD0250</t>
  </si>
  <si>
    <t>1vu-7wCHTpQgizhBeq4hTLv5BOZH7Uhom</t>
  </si>
  <si>
    <t>https://drive.google.com/file/d/1vu-7wCHTpQgizhBeq4hTLv5BOZH7Uhom/view?usp=drivesdk</t>
  </si>
  <si>
    <t xml:space="preserve">Dr. Christina Parmar</t>
  </si>
  <si>
    <t xml:space="preserve">Rehabilitation and After Care Services</t>
  </si>
  <si>
    <t>2526ECD0405</t>
  </si>
  <si>
    <t>15P97fWMDjJArwqvONZ84QoIPjoovl3Kp</t>
  </si>
  <si>
    <t>https://drive.google.com/file/d/15P97fWMDjJArwqvONZ84QoIPjoovl3Kp/view?usp=drivesdk</t>
  </si>
  <si>
    <t xml:space="preserve">Document successfully created; Document successfully merged; PDF created; Manually run by nirmita.patel27183@paruluniversity.ac.in; Timestamp: Apr 28 2026 4:52 AM</t>
  </si>
  <si>
    <t xml:space="preserve">Mr. Bhaveshbhai Jadav</t>
  </si>
  <si>
    <t xml:space="preserve">Rural and Tribal Community Development</t>
  </si>
  <si>
    <t>2526ECD0387</t>
  </si>
  <si>
    <t>1EVgIH1QJS58z0DrTedMA9TxOTY4n9Q8X</t>
  </si>
  <si>
    <t>https://drive.google.com/file/d/1EVgIH1QJS58z0DrTedMA9TxOTY4n9Q8X/view?usp=drivesdk</t>
  </si>
  <si>
    <t xml:space="preserve">Document successfully created; Document successfully merged; PDF created; Manually run by nirmita.patel27183@paruluniversity.ac.in; Timestamp: Apr 27 2026 5:08 AM</t>
  </si>
  <si>
    <t>PIT</t>
  </si>
  <si>
    <t xml:space="preserve">Mr. Dushyant sharma</t>
  </si>
  <si>
    <t xml:space="preserve">Introduction to Petroleum Geology</t>
  </si>
  <si>
    <t>2526ECD0252</t>
  </si>
  <si>
    <t>1mZOZt7WvduwNe9NNP1BfOw0tr2QcOVNB</t>
  </si>
  <si>
    <t>https://drive.google.com/file/d/1mZOZt7WvduwNe9NNP1BfOw0tr2QcOVNB/view?usp=drivesdk</t>
  </si>
  <si>
    <t xml:space="preserve">Document successfully created; Document successfully merged; PDF created; Manually run by nirmita.patel27183@paruluniversity.ac.in; Timestamp: Apr 24 2026 6:36 AM</t>
  </si>
  <si>
    <t xml:space="preserve">Dr. Bhola Kumar Paswan</t>
  </si>
  <si>
    <t xml:space="preserve">Drilling Engineering - I</t>
  </si>
  <si>
    <t>2526ECD0253</t>
  </si>
  <si>
    <t>1y_feiTCO1rvkw31NR8RslLPVRYotdwrl</t>
  </si>
  <si>
    <t>https://drive.google.com/file/d/1y_feiTCO1rvkw31NR8RslLPVRYotdwrl/view?usp=drivesdk</t>
  </si>
  <si>
    <t xml:space="preserve">Mr. Nitesh Paliwal</t>
  </si>
  <si>
    <t xml:space="preserve">Fluid Flow Operations</t>
  </si>
  <si>
    <t>2526ECD0254</t>
  </si>
  <si>
    <t>1IhFNyjXkfw03tpdIpcTUzq-RGZposD54</t>
  </si>
  <si>
    <t>https://drive.google.com/file/d/1IhFNyjXkfw03tpdIpcTUzq-RGZposD54/view?usp=drivesdk</t>
  </si>
  <si>
    <t xml:space="preserve">Dr. Mohatsim Mahetaji</t>
  </si>
  <si>
    <t xml:space="preserve">Petroleum Exploration</t>
  </si>
  <si>
    <t>2526ECD0255</t>
  </si>
  <si>
    <t>109OjqjOttCrXLgBFmucLSKR545eEgcax</t>
  </si>
  <si>
    <t>https://drive.google.com/file/d/109OjqjOttCrXLgBFmucLSKR545eEgcax/view?usp=drivesdk</t>
  </si>
  <si>
    <t xml:space="preserve">Dr. Rajan Kumar Singh</t>
  </si>
  <si>
    <t xml:space="preserve">Genetics and Molecular Biology</t>
  </si>
  <si>
    <t>2526ECD0256</t>
  </si>
  <si>
    <t>1AA8TAIcrnwIb2okmPmJo_nPmSiySmvRD</t>
  </si>
  <si>
    <t>https://drive.google.com/file/d/1AA8TAIcrnwIb2okmPmJo_nPmSiySmvRD/view?usp=drivesdk</t>
  </si>
  <si>
    <t xml:space="preserve">Document successfully created; Document successfully merged; PDF created; Manually run by nirmita.patel27183@paruluniversity.ac.in; Timestamp: Apr 24 2026 6:37 AM</t>
  </si>
  <si>
    <t xml:space="preserve">Dr. Soham Mahendrabhai Trivedi</t>
  </si>
  <si>
    <t xml:space="preserve">Environmental Biotechnology</t>
  </si>
  <si>
    <t>2526ECD0257</t>
  </si>
  <si>
    <t>1NjKja8KP0FdKCtCgrOOppy1Q8ifdFa1E</t>
  </si>
  <si>
    <t>https://drive.google.com/file/d/1NjKja8KP0FdKCtCgrOOppy1Q8ifdFa1E/view?usp=drivesdk</t>
  </si>
  <si>
    <t xml:space="preserve">Dr. Mitun Chakraborty</t>
  </si>
  <si>
    <t xml:space="preserve">Bioinformatics and Computational Biology</t>
  </si>
  <si>
    <t>2526ECD0258</t>
  </si>
  <si>
    <t>1gE4fjSTptpy-WXhy1Iu_cV7cD2vMRX5Z</t>
  </si>
  <si>
    <t>https://drive.google.com/file/d/1gE4fjSTptpy-WXhy1Iu_cV7cD2vMRX5Z/view?usp=drivesdk</t>
  </si>
  <si>
    <t xml:space="preserve">Dr. Sanjukta Banerjee</t>
  </si>
  <si>
    <t xml:space="preserve">Bioprocess Engineering</t>
  </si>
  <si>
    <t>2526ECD0259</t>
  </si>
  <si>
    <t>128BVo8O1eG_TkiXKCDGU1wgMwAWvvGDe</t>
  </si>
  <si>
    <t>https://drive.google.com/file/d/128BVo8O1eG_TkiXKCDGU1wgMwAWvvGDe/view?usp=drivesdk</t>
  </si>
  <si>
    <t xml:space="preserve">Dr. M R D S Nitish Venkateswarlu</t>
  </si>
  <si>
    <t>2526ECD0260</t>
  </si>
  <si>
    <t>1Ge1SXHu1MrVtrpjnl46NofrhRtW3ddSX</t>
  </si>
  <si>
    <t>https://drive.google.com/file/d/1Ge1SXHu1MrVtrpjnl46NofrhRtW3ddSX/view?usp=drivesdk</t>
  </si>
  <si>
    <t xml:space="preserve">Dr. Alok Kumar Yadav</t>
  </si>
  <si>
    <t xml:space="preserve">Basics of Microbiology</t>
  </si>
  <si>
    <t>2526ECD0261</t>
  </si>
  <si>
    <t>1NzsmXh0YfiD1TPkj1clzfHHeGMfljfBP</t>
  </si>
  <si>
    <t>https://drive.google.com/file/d/1NzsmXh0YfiD1TPkj1clzfHHeGMfljfBP/view?usp=drivesdk</t>
  </si>
  <si>
    <t xml:space="preserve">Document successfully created; Document successfully merged; PDF created; Manually run by nirmita.patel27183@paruluniversity.ac.in; Timestamp: Apr 24 2026 6:38 AM</t>
  </si>
  <si>
    <t xml:space="preserve">Dr.Amarish Kumar Sharma</t>
  </si>
  <si>
    <t>Biochemistry</t>
  </si>
  <si>
    <t>2526ECD0262</t>
  </si>
  <si>
    <t>105-QhKB7SxVwH-i8aI5tkY90mCCnIbgd</t>
  </si>
  <si>
    <t>https://drive.google.com/file/d/105-QhKB7SxVwH-i8aI5tkY90mCCnIbgd/view?usp=drivesdk</t>
  </si>
  <si>
    <t xml:space="preserve">Dr. Sanni Kumar</t>
  </si>
  <si>
    <t xml:space="preserve">Biosafety, Bioethics, IPR &amp; Patents</t>
  </si>
  <si>
    <t>2526ECD0263</t>
  </si>
  <si>
    <t>1Ci6gX4DhTeaN3lv6rFflMw_wYSnTiY81</t>
  </si>
  <si>
    <t>https://drive.google.com/file/d/1Ci6gX4DhTeaN3lv6rFflMw_wYSnTiY81/view?usp=drivesdk</t>
  </si>
  <si>
    <t xml:space="preserve">Dr. Prathamesh Potdar</t>
  </si>
  <si>
    <t xml:space="preserve">Optimisation Techniques</t>
  </si>
  <si>
    <t>2526ECD0264</t>
  </si>
  <si>
    <t>1Pc2Shp8slJ6TTKOosefze2Z43Rw07rMy</t>
  </si>
  <si>
    <t>https://drive.google.com/file/d/1Pc2Shp8slJ6TTKOosefze2Z43Rw07rMy/view?usp=drivesdk</t>
  </si>
  <si>
    <t xml:space="preserve">Omkamal Vashi</t>
  </si>
  <si>
    <t xml:space="preserve">Electric &amp; Hybrid Vehicles</t>
  </si>
  <si>
    <t>2526ECD0265</t>
  </si>
  <si>
    <t>1z_Qx9A41Tkf6yv9z2EzIgWlO9_K4viuJ</t>
  </si>
  <si>
    <t>https://drive.google.com/file/d/1z_Qx9A41Tkf6yv9z2EzIgWlO9_K4viuJ/view?usp=drivesdk</t>
  </si>
  <si>
    <t xml:space="preserve">Jugal Sanghadia</t>
  </si>
  <si>
    <t xml:space="preserve">Automobile Engines</t>
  </si>
  <si>
    <t>2526ECD0266</t>
  </si>
  <si>
    <t>1E1NVMt8osHQ0bpn-6kcqyVvSiIJJLAn8</t>
  </si>
  <si>
    <t>https://drive.google.com/file/d/1E1NVMt8osHQ0bpn-6kcqyVvSiIJJLAn8/view?usp=drivesdk</t>
  </si>
  <si>
    <t xml:space="preserve">Vaibhav Bhatt</t>
  </si>
  <si>
    <t xml:space="preserve">Automobile Powertrain &amp; Systems</t>
  </si>
  <si>
    <t>2526ECD0267</t>
  </si>
  <si>
    <t>1wOn8cDcFSPtvjj8H3m-sSDYbUCmQSEeE</t>
  </si>
  <si>
    <t>https://drive.google.com/file/d/1wOn8cDcFSPtvjj8H3m-sSDYbUCmQSEeE/view?usp=drivesdk</t>
  </si>
  <si>
    <t xml:space="preserve">Document successfully created; Document successfully merged; PDF created; Manually run by nirmita.patel27183@paruluniversity.ac.in; Timestamp: Apr 24 2026 6:39 AM</t>
  </si>
  <si>
    <t xml:space="preserve">Dr. Vyomesh Buch</t>
  </si>
  <si>
    <t xml:space="preserve">Design of Expriments</t>
  </si>
  <si>
    <t>2526ECD0268</t>
  </si>
  <si>
    <t>1BZhBcOgMsscdDhIgSbtj1KQMQPwyap06</t>
  </si>
  <si>
    <t>https://drive.google.com/file/d/1BZhBcOgMsscdDhIgSbtj1KQMQPwyap06/view?usp=drivesdk</t>
  </si>
  <si>
    <t xml:space="preserve">Dr. Prabhat Mishra</t>
  </si>
  <si>
    <t xml:space="preserve">Fundamental of Heat Transfer</t>
  </si>
  <si>
    <t>2526ECD0269</t>
  </si>
  <si>
    <t>1w4fFHI5u6AOANZJGRfSg5YbkWVXPTN8s</t>
  </si>
  <si>
    <t>https://drive.google.com/file/d/1w4fFHI5u6AOANZJGRfSg5YbkWVXPTN8s/view?usp=drivesdk</t>
  </si>
  <si>
    <t xml:space="preserve">Samkit Shah</t>
  </si>
  <si>
    <t xml:space="preserve">Special Purpose Vehicles</t>
  </si>
  <si>
    <t>2526ECD0270</t>
  </si>
  <si>
    <t>14EOvKBbcCH4fCkc47aly1-CyueCGYV7E</t>
  </si>
  <si>
    <t>https://drive.google.com/file/d/14EOvKBbcCH4fCkc47aly1-CyueCGYV7E/view?usp=drivesdk</t>
  </si>
  <si>
    <t xml:space="preserve">Nilesh Shah</t>
  </si>
  <si>
    <t xml:space="preserve">Waste &amp; Energy Management</t>
  </si>
  <si>
    <t>2526ECD0271</t>
  </si>
  <si>
    <t>1WvyFA2gBhDgfesew7cryv5FJ4g-s8YeA</t>
  </si>
  <si>
    <t>https://drive.google.com/file/d/1WvyFA2gBhDgfesew7cryv5FJ4g-s8YeA/view?usp=drivesdk</t>
  </si>
  <si>
    <t xml:space="preserve">Shailesh Parmar</t>
  </si>
  <si>
    <t xml:space="preserve">Fuels &amp; Lubricants</t>
  </si>
  <si>
    <t>2526ECD0272</t>
  </si>
  <si>
    <t>1rWv-YrjXxlRLEz3JyOidnmbW2aWmx3ns</t>
  </si>
  <si>
    <t>https://drive.google.com/file/d/1rWv-YrjXxlRLEz3JyOidnmbW2aWmx3ns/view?usp=drivesdk</t>
  </si>
  <si>
    <t xml:space="preserve">Document successfully created; Document successfully merged; PDF created; Manually run by nirmita.patel27183@paruluniversity.ac.in; Timestamp: Apr 24 2026 6:44 AM</t>
  </si>
  <si>
    <t xml:space="preserve">Krunal Ajmeri</t>
  </si>
  <si>
    <t>2526ECD0273</t>
  </si>
  <si>
    <t>1yxAjCpcuQqbAXC2zEjfcIy9hA3SgyC-P</t>
  </si>
  <si>
    <t>https://drive.google.com/file/d/1yxAjCpcuQqbAXC2zEjfcIy9hA3SgyC-P/view?usp=drivesdk</t>
  </si>
  <si>
    <t xml:space="preserve">Sahil Khatri</t>
  </si>
  <si>
    <t xml:space="preserve">Auto Electrical System Daignosis and Testing</t>
  </si>
  <si>
    <t>2526ECD0274</t>
  </si>
  <si>
    <t>1A-fmuN1rxnpghd9Kc815xUH2c9XQxEk0</t>
  </si>
  <si>
    <t>https://drive.google.com/file/d/1A-fmuN1rxnpghd9Kc815xUH2c9XQxEk0/view?usp=drivesdk</t>
  </si>
  <si>
    <t xml:space="preserve">Yash Avasiya</t>
  </si>
  <si>
    <t xml:space="preserve">Automobile Transmission Mechanism</t>
  </si>
  <si>
    <t>2526ECD0275</t>
  </si>
  <si>
    <t>1LYiLZYjsimo6DOgo_JaPQVxmWJN2eWB0</t>
  </si>
  <si>
    <t>https://drive.google.com/file/d/1LYiLZYjsimo6DOgo_JaPQVxmWJN2eWB0/view?usp=drivesdk</t>
  </si>
  <si>
    <t xml:space="preserve">Vishal Makwana</t>
  </si>
  <si>
    <t xml:space="preserve">Motor Vehicle Acts and Loss Assesment</t>
  </si>
  <si>
    <t>2526ECD0276</t>
  </si>
  <si>
    <t>1WM7qpY2g_bnyb-dNwHD4Zilc2MsaEM68</t>
  </si>
  <si>
    <t>https://drive.google.com/file/d/1WM7qpY2g_bnyb-dNwHD4Zilc2MsaEM68/view?usp=drivesdk</t>
  </si>
  <si>
    <t xml:space="preserve">Dr. Heli A. Shah</t>
  </si>
  <si>
    <t>Autotronics</t>
  </si>
  <si>
    <t>2526ECD0277</t>
  </si>
  <si>
    <t>19BswsiSvaEuXk2hAxllkLDiP3bjDKxTo</t>
  </si>
  <si>
    <t>https://drive.google.com/file/d/19BswsiSvaEuXk2hAxllkLDiP3bjDKxTo/view?usp=drivesdk</t>
  </si>
  <si>
    <t xml:space="preserve">Mr. Prashant Tomar</t>
  </si>
  <si>
    <t xml:space="preserve">Manufacturing Process</t>
  </si>
  <si>
    <t>2526ECD0278</t>
  </si>
  <si>
    <t>1DGDRY4UikR6wvPBJZVCoPAdN9xmI5GcK</t>
  </si>
  <si>
    <t>https://drive.google.com/file/d/1DGDRY4UikR6wvPBJZVCoPAdN9xmI5GcK/view?usp=drivesdk</t>
  </si>
  <si>
    <t xml:space="preserve">Document successfully created; Document successfully merged; PDF created; Manually run by nirmita.patel27183@paruluniversity.ac.in; Timestamp: Apr 24 2026 6:45 AM</t>
  </si>
  <si>
    <t xml:space="preserve">Dr. Sharad Tiwari</t>
  </si>
  <si>
    <t xml:space="preserve">Control Theory</t>
  </si>
  <si>
    <t>2526ECD0279</t>
  </si>
  <si>
    <t>1NYEQ3baCCWOPoF6s0fwbBj8I0X0lz4KG</t>
  </si>
  <si>
    <t>https://drive.google.com/file/d/1NYEQ3baCCWOPoF6s0fwbBj8I0X0lz4KG/view?usp=drivesdk</t>
  </si>
  <si>
    <t xml:space="preserve">Dr. Rashmi Pandey</t>
  </si>
  <si>
    <t xml:space="preserve">Analog and Digital Electronics</t>
  </si>
  <si>
    <t>2526ECD0280</t>
  </si>
  <si>
    <t>1t7V2P8UgGK95cEustX0-ONDJ598S__AA</t>
  </si>
  <si>
    <t>https://drive.google.com/file/d/1t7V2P8UgGK95cEustX0-ONDJ598S__AA/view?usp=drivesdk</t>
  </si>
  <si>
    <t xml:space="preserve">Mr. Kaushal Barot</t>
  </si>
  <si>
    <t xml:space="preserve">Kinematics and Dynamics of Machines</t>
  </si>
  <si>
    <t>2526ECD0281</t>
  </si>
  <si>
    <t>1YebmPeo01FNlp0OqGslRX134vfy1n4g2</t>
  </si>
  <si>
    <t>https://drive.google.com/file/d/1YebmPeo01FNlp0OqGslRX134vfy1n4g2/view?usp=drivesdk</t>
  </si>
  <si>
    <t xml:space="preserve">Mr. Shiju Gangadaran</t>
  </si>
  <si>
    <t xml:space="preserve">Microcontrollers and Interfacing for Robotics </t>
  </si>
  <si>
    <t>2526ECD0282</t>
  </si>
  <si>
    <t>1QJIBQSDLV-eh_g3FmCztpMP81HVoekFd</t>
  </si>
  <si>
    <t>https://drive.google.com/file/d/1QJIBQSDLV-eh_g3FmCztpMP81HVoekFd/view?usp=drivesdk</t>
  </si>
  <si>
    <t xml:space="preserve">Dr. Harsh Kumar Dixit</t>
  </si>
  <si>
    <t xml:space="preserve">Quality and Reliability Engineering </t>
  </si>
  <si>
    <t>2526ECD0283</t>
  </si>
  <si>
    <t>1AMpsAEoGxXR8JxtM_ncYVBFgfSO5UF3n</t>
  </si>
  <si>
    <t>https://drive.google.com/file/d/1AMpsAEoGxXR8JxtM_ncYVBFgfSO5UF3n/view?usp=drivesdk</t>
  </si>
  <si>
    <t xml:space="preserve">Document successfully created; Document successfully merged; PDF created; Manually run by nirmita.patel27183@paruluniversity.ac.in; Timestamp: Apr 24 2026 6:46 AM</t>
  </si>
  <si>
    <t xml:space="preserve">Mr. Viral P. Gandhi</t>
  </si>
  <si>
    <t xml:space="preserve">Advanced Manufacturing System</t>
  </si>
  <si>
    <t>2526ECD0284</t>
  </si>
  <si>
    <t>1fXY4rBiJD5ZTm_QsSw2BrMnzI_Qyux0m</t>
  </si>
  <si>
    <t>https://drive.google.com/file/d/1fXY4rBiJD5ZTm_QsSw2BrMnzI_Qyux0m/view?usp=drivesdk</t>
  </si>
  <si>
    <t xml:space="preserve">Dr. Vishant Kumar</t>
  </si>
  <si>
    <t xml:space="preserve">Robot Dynamics and Manipulator Design</t>
  </si>
  <si>
    <t>2526ECD0285</t>
  </si>
  <si>
    <t>1QbcMJ8KZ1JNUItQnzCtzxl-uPKkhLmVn</t>
  </si>
  <si>
    <t>https://drive.google.com/file/d/1QbcMJ8KZ1JNUItQnzCtzxl-uPKkhLmVn/view?usp=drivesdk</t>
  </si>
  <si>
    <t xml:space="preserve">Dr. Jignesh Desai</t>
  </si>
  <si>
    <t xml:space="preserve">Power Electronics</t>
  </si>
  <si>
    <t>2526ECD0286</t>
  </si>
  <si>
    <t>1pPobSkz5KpPAyDAZv770KFxzQxJqnB5I</t>
  </si>
  <si>
    <t>https://drive.google.com/file/d/1pPobSkz5KpPAyDAZv770KFxzQxJqnB5I/view?usp=drivesdk</t>
  </si>
  <si>
    <t xml:space="preserve">Dr. Prabodh Sahoo</t>
  </si>
  <si>
    <t xml:space="preserve">Network Analysis and Synthesis</t>
  </si>
  <si>
    <t>2526ECD0287</t>
  </si>
  <si>
    <t>1MwctWHdwCn0jiQUO8b-ZIeWlm0XIsTi0</t>
  </si>
  <si>
    <t>https://drive.google.com/file/d/1MwctWHdwCn0jiQUO8b-ZIeWlm0XIsTi0/view?usp=drivesdk</t>
  </si>
  <si>
    <t xml:space="preserve">Dr. S S P M Sharma B</t>
  </si>
  <si>
    <t xml:space="preserve">Advanced Robotics and Industrial Automation</t>
  </si>
  <si>
    <t>2526ECD0288</t>
  </si>
  <si>
    <t>1JVmHJ10YrhJJgxfIjh-2UHO61NgTr8cE</t>
  </si>
  <si>
    <t>https://drive.google.com/file/d/1JVmHJ10YrhJJgxfIjh-2UHO61NgTr8cE/view?usp=drivesdk</t>
  </si>
  <si>
    <t xml:space="preserve">Mr. Jagdish Pampania</t>
  </si>
  <si>
    <t xml:space="preserve">Material Engineering</t>
  </si>
  <si>
    <t>2526ECD0289</t>
  </si>
  <si>
    <t>14ZUu-iBafKfa9HtxICkSM_1W7rVeVmbI</t>
  </si>
  <si>
    <t>https://drive.google.com/file/d/14ZUu-iBafKfa9HtxICkSM_1W7rVeVmbI/view?usp=drivesdk</t>
  </si>
  <si>
    <t xml:space="preserve">Document successfully created; Document successfully merged; PDF created; Manually run by nirmita.patel27183@paruluniversity.ac.in; Timestamp: Apr 24 2026 6:47 AM</t>
  </si>
  <si>
    <t xml:space="preserve">Mr. Manjeet Khare</t>
  </si>
  <si>
    <t xml:space="preserve">Engineering Thermodynamics </t>
  </si>
  <si>
    <t>2526ECD0290</t>
  </si>
  <si>
    <t>1m6huuxPftcWupVJGWKiU6UaqPlZkJAVM</t>
  </si>
  <si>
    <t>https://drive.google.com/file/d/1m6huuxPftcWupVJGWKiU6UaqPlZkJAVM/view?usp=drivesdk</t>
  </si>
  <si>
    <t xml:space="preserve">Mr. Amit Dhorajiya</t>
  </si>
  <si>
    <t xml:space="preserve">Computer Aided Design and Analysis</t>
  </si>
  <si>
    <t>2526ECD0291</t>
  </si>
  <si>
    <t>1RwrhmEsZiSnh1ZFRcHppbLSJmj7fOiSH</t>
  </si>
  <si>
    <t>https://drive.google.com/file/d/1RwrhmEsZiSnh1ZFRcHppbLSJmj7fOiSH/view?usp=drivesdk</t>
  </si>
  <si>
    <t xml:space="preserve">Dr.Vivek Kumar</t>
  </si>
  <si>
    <t xml:space="preserve">Python Programming and ROS</t>
  </si>
  <si>
    <t>2526ECD0292</t>
  </si>
  <si>
    <t>17D0s87dfdhpwupAtE_yzaeq9DTQhXC7O</t>
  </si>
  <si>
    <t>https://drive.google.com/file/d/17D0s87dfdhpwupAtE_yzaeq9DTQhXC7O/view?usp=drivesdk</t>
  </si>
  <si>
    <t xml:space="preserve">Mrs.Seema Rajput</t>
  </si>
  <si>
    <t xml:space="preserve">Measurements &amp; Instrumentation</t>
  </si>
  <si>
    <t>2526ECD0293</t>
  </si>
  <si>
    <t>1ueELZbY7WSH-8sB2LFS2A4GCbq2slcWf</t>
  </si>
  <si>
    <t>https://drive.google.com/file/d/1ueELZbY7WSH-8sB2LFS2A4GCbq2slcWf/view?usp=drivesdk</t>
  </si>
  <si>
    <t xml:space="preserve">Mr. Ranjit Kumar Rajak</t>
  </si>
  <si>
    <t xml:space="preserve">Programmable Logic Controllers</t>
  </si>
  <si>
    <t>2526ECD0294</t>
  </si>
  <si>
    <t>1lioc6XSL-X_lWpXOhDbl8TNWjZydlg3Z</t>
  </si>
  <si>
    <t>https://drive.google.com/file/d/1lioc6XSL-X_lWpXOhDbl8TNWjZydlg3Z/view?usp=drivesdk</t>
  </si>
  <si>
    <t xml:space="preserve">Mr. Soumil Raja</t>
  </si>
  <si>
    <t xml:space="preserve">Python Programming</t>
  </si>
  <si>
    <t>2526ECD0295</t>
  </si>
  <si>
    <t>1q1jXXZQSy6LlwQTAHH807YDPNzM8u3nh</t>
  </si>
  <si>
    <t>https://drive.google.com/file/d/1q1jXXZQSy6LlwQTAHH807YDPNzM8u3nh/view?usp=drivesdk</t>
  </si>
  <si>
    <t xml:space="preserve">Document successfully created; Document successfully merged; PDF created; Manually run by nirmita.patel27183@paruluniversity.ac.in; Timestamp: Apr 24 2026 6:48 AM</t>
  </si>
  <si>
    <t xml:space="preserve">Ms. Trupthi Patel</t>
  </si>
  <si>
    <t>2526ECD0296</t>
  </si>
  <si>
    <t>1tKhR0H6qkNYOMfQTfMqgSvYOfaOm5D9j</t>
  </si>
  <si>
    <t>https://drive.google.com/file/d/1tKhR0H6qkNYOMfQTfMqgSvYOfaOm5D9j/view?usp=drivesdk</t>
  </si>
  <si>
    <t xml:space="preserve">Document successfully created; Document successfully merged; PDF created; Manually run by nirmita.patel27183@paruluniversity.ac.in; Timestamp: Apr 24 2026 7:06 AM</t>
  </si>
  <si>
    <t xml:space="preserve">Dr. Pramod Kumar</t>
  </si>
  <si>
    <t xml:space="preserve">Food Chemistry II</t>
  </si>
  <si>
    <t>2526ECD0297</t>
  </si>
  <si>
    <t>1tbkZCQWjKjAqvtIWvC_DW5eDPli0AMJ-</t>
  </si>
  <si>
    <t>https://drive.google.com/file/d/1tbkZCQWjKjAqvtIWvC_DW5eDPli0AMJ-/view?usp=drivesdk</t>
  </si>
  <si>
    <t xml:space="preserve">Dr. Rishab Dhar</t>
  </si>
  <si>
    <t xml:space="preserve">Instrumental Techniques in Food Analysis</t>
  </si>
  <si>
    <t>2526ECD0298</t>
  </si>
  <si>
    <t>1_FZysDn8oCxFLSBzjIZ_veZjlGJbc-rD</t>
  </si>
  <si>
    <t>https://drive.google.com/file/d/1_FZysDn8oCxFLSBzjIZ_veZjlGJbc-rD/view?usp=drivesdk</t>
  </si>
  <si>
    <t xml:space="preserve">Document successfully created; Document successfully merged; PDF created; Manually run by nirmita.patel27183@paruluniversity.ac.in; Timestamp: Apr 24 2026 7:07 AM</t>
  </si>
  <si>
    <t xml:space="preserve">Dr. Jyotirmoy Goyary </t>
  </si>
  <si>
    <t xml:space="preserve">Food Process Equipment Design</t>
  </si>
  <si>
    <t>2526ECD0299</t>
  </si>
  <si>
    <t>1DRK7xrpapV8UrPzS_5-CtcdLiOHgx5sL</t>
  </si>
  <si>
    <t>https://drive.google.com/file/d/1DRK7xrpapV8UrPzS_5-CtcdLiOHgx5sL/view?usp=drivesdk</t>
  </si>
  <si>
    <t xml:space="preserve">Mr. Ashish Todkar</t>
  </si>
  <si>
    <t xml:space="preserve">Principles of Food Engineering</t>
  </si>
  <si>
    <t>2526ECD0300</t>
  </si>
  <si>
    <t>13CaKV4w0V0yAOhxbarLx0vWiB06KvCtQ</t>
  </si>
  <si>
    <t>https://drive.google.com/file/d/13CaKV4w0V0yAOhxbarLx0vWiB06KvCtQ/view?usp=drivesdk</t>
  </si>
  <si>
    <t xml:space="preserve">Dr. Shaikh Adil</t>
  </si>
  <si>
    <t xml:space="preserve">By Products Technology</t>
  </si>
  <si>
    <t>2526ECD0301</t>
  </si>
  <si>
    <t>195erdB_CwDviiWwmdSiNrAUoRaCmyoj2</t>
  </si>
  <si>
    <t>https://drive.google.com/file/d/195erdB_CwDviiWwmdSiNrAUoRaCmyoj2/view?usp=drivesdk</t>
  </si>
  <si>
    <t xml:space="preserve">Dr. Bhavesh Baria</t>
  </si>
  <si>
    <t xml:space="preserve">Dairy Products Equipments</t>
  </si>
  <si>
    <t>2526ECD0302</t>
  </si>
  <si>
    <t>1lehOWZv_GRvuIdWwb5xZrjJeNcR9WexZ</t>
  </si>
  <si>
    <t>https://drive.google.com/file/d/1lehOWZv_GRvuIdWwb5xZrjJeNcR9WexZ/view?usp=drivesdk</t>
  </si>
  <si>
    <t xml:space="preserve">Ms. Parita Mangroliya</t>
  </si>
  <si>
    <t xml:space="preserve">Chemical Quality Assurance</t>
  </si>
  <si>
    <t>2526ECD0303</t>
  </si>
  <si>
    <t>1P9TnjPethC4iYtxx3uiVTGKYwZHvsLz3</t>
  </si>
  <si>
    <t>https://drive.google.com/file/d/1P9TnjPethC4iYtxx3uiVTGKYwZHvsLz3/view?usp=drivesdk</t>
  </si>
  <si>
    <t xml:space="preserve">Dr. Bhagyashree Das</t>
  </si>
  <si>
    <t xml:space="preserve">Microbiology Quality Assurance</t>
  </si>
  <si>
    <t>2526ECD0304</t>
  </si>
  <si>
    <t>10nVHb9v4QE0_S8c0JC3JLXIvxVneLoHF</t>
  </si>
  <si>
    <t>https://drive.google.com/file/d/10nVHb9v4QE0_S8c0JC3JLXIvxVneLoHF/view?usp=drivesdk</t>
  </si>
  <si>
    <t xml:space="preserve">Document successfully created; Document successfully merged; PDF created; Manually run by nirmita.patel27183@paruluniversity.ac.in; Timestamp: Apr 24 2026 7:08 AM</t>
  </si>
  <si>
    <t xml:space="preserve">Umangkumar B. Zalavadiya</t>
  </si>
  <si>
    <t xml:space="preserve">Watershed Hydrology</t>
  </si>
  <si>
    <t>2526ECD0305</t>
  </si>
  <si>
    <t>1AQpA5X_OxE6fBo07x_yvzQ8FWWRooqmK</t>
  </si>
  <si>
    <t>https://drive.google.com/file/d/1AQpA5X_OxE6fBo07x_yvzQ8FWWRooqmK/view?usp=drivesdk</t>
  </si>
  <si>
    <t xml:space="preserve">Document successfully created; Document successfully merged; PDF created; Manually run by nirmita.patel27183@paruluniversity.ac.in; Timestamp: Apr 28 2026 7:55 AM</t>
  </si>
  <si>
    <t xml:space="preserve">Prof. Dixit mistry</t>
  </si>
  <si>
    <t xml:space="preserve">Farm Tractor Systems and Controls </t>
  </si>
  <si>
    <t>2526ECD0306</t>
  </si>
  <si>
    <t>1q6kzZAsVlVhLCXzTWON1N4_PoHuN753E</t>
  </si>
  <si>
    <t>https://drive.google.com/file/d/1q6kzZAsVlVhLCXzTWON1N4_PoHuN753E/view?usp=drivesdk</t>
  </si>
  <si>
    <t xml:space="preserve">Mr. Sunny Wasudeorao Thakare</t>
  </si>
  <si>
    <t>2526ECD0307</t>
  </si>
  <si>
    <t>1EaUrbmovKv6-iNI2MYjExzamEd1k6J3j</t>
  </si>
  <si>
    <t>https://drive.google.com/file/d/1EaUrbmovKv6-iNI2MYjExzamEd1k6J3j/view?usp=drivesdk</t>
  </si>
  <si>
    <t xml:space="preserve">Document successfully created; Document successfully merged; PDF created; Manually run by nirmita.patel27183@paruluniversity.ac.in; Timestamp: Apr 28 2026 7:56 AM</t>
  </si>
  <si>
    <t xml:space="preserve">Mr. Akash Suresh Patil</t>
  </si>
  <si>
    <t xml:space="preserve">Database Management System</t>
  </si>
  <si>
    <t>2526ECD0308</t>
  </si>
  <si>
    <t>12k4cUMVgaYhljNI1GFkxd1BoBQv4OjmZ</t>
  </si>
  <si>
    <t>https://drive.google.com/file/d/12k4cUMVgaYhljNI1GFkxd1BoBQv4OjmZ/view?usp=drivesdk</t>
  </si>
  <si>
    <t xml:space="preserve">Shivkumar Lilhare</t>
  </si>
  <si>
    <t xml:space="preserve">Object Oriented Programming with JAVA</t>
  </si>
  <si>
    <t>2526ECD0309</t>
  </si>
  <si>
    <t>1LuN56hTTln3crhEFROVZlgWGd_FP4421</t>
  </si>
  <si>
    <t>https://drive.google.com/file/d/1LuN56hTTln3crhEFROVZlgWGd_FP4421/view?usp=drivesdk</t>
  </si>
  <si>
    <t xml:space="preserve">Mrs. Bhumi Kaushal Shah</t>
  </si>
  <si>
    <t xml:space="preserve">Design and Analysis of Algorithm</t>
  </si>
  <si>
    <t>2526ECD0310</t>
  </si>
  <si>
    <t>1uKL0ufmuuBXJBXH9ebVgtSnqgnShzwkQ</t>
  </si>
  <si>
    <t>https://drive.google.com/file/d/1uKL0ufmuuBXJBXH9ebVgtSnqgnShzwkQ/view?usp=drivesdk</t>
  </si>
  <si>
    <t xml:space="preserve">Mrs. Arpita Meet Vaidya</t>
  </si>
  <si>
    <t xml:space="preserve">Software Engineering</t>
  </si>
  <si>
    <t>2526ECD0311</t>
  </si>
  <si>
    <t>1CPYrpZYs80zI_8cyJ5KM6pSeVBGHia03</t>
  </si>
  <si>
    <t>https://drive.google.com/file/d/1CPYrpZYs80zI_8cyJ5KM6pSeVBGHia03/view?usp=drivesdk</t>
  </si>
  <si>
    <t xml:space="preserve">Ms. Riddhi Atulkumar Mehta</t>
  </si>
  <si>
    <t xml:space="preserve">Theory of Computation</t>
  </si>
  <si>
    <t>2526ECD0312</t>
  </si>
  <si>
    <t>10pXev038AR5ZijeuLmBVI_1cH0snvaa-</t>
  </si>
  <si>
    <t>https://drive.google.com/file/d/10pXev038AR5ZijeuLmBVI_1cH0snvaa-/view?usp=drivesdk</t>
  </si>
  <si>
    <t xml:space="preserve">Arnika Patel</t>
  </si>
  <si>
    <t>2526ECD0313</t>
  </si>
  <si>
    <t>1OhqOt2_3mEGRf99wec1ZQM9qEpht2NFH</t>
  </si>
  <si>
    <t>https://drive.google.com/file/d/1OhqOt2_3mEGRf99wec1ZQM9qEpht2NFH/view?usp=drivesdk</t>
  </si>
  <si>
    <t xml:space="preserve">Ms Kinjal Kevin gandhi</t>
  </si>
  <si>
    <t>AWS</t>
  </si>
  <si>
    <t>2526ECD0314</t>
  </si>
  <si>
    <t>1eeVS5heDNIk5JXFInogJszBBsYoA6m2h</t>
  </si>
  <si>
    <t>https://drive.google.com/file/d/1eeVS5heDNIk5JXFInogJszBBsYoA6m2h/view?usp=drivesdk</t>
  </si>
  <si>
    <t xml:space="preserve">Dr. Vinod Patidar</t>
  </si>
  <si>
    <t xml:space="preserve">Data Analytics and Data Visualization</t>
  </si>
  <si>
    <t>2526ECD0315</t>
  </si>
  <si>
    <t>1TwPsgwy03_frirytlBvtZ8JpEyPeKIMF</t>
  </si>
  <si>
    <t>https://drive.google.com/file/d/1TwPsgwy03_frirytlBvtZ8JpEyPeKIMF/view?usp=drivesdk</t>
  </si>
  <si>
    <t xml:space="preserve">Dr. Bhasha Vandit Anjaria</t>
  </si>
  <si>
    <t>2526ECD0316</t>
  </si>
  <si>
    <t>1MWdY09w2IQtisJkGLvIcjboGysTjRvKC</t>
  </si>
  <si>
    <t>https://drive.google.com/file/d/1MWdY09w2IQtisJkGLvIcjboGysTjRvKC/view?usp=drivesdk</t>
  </si>
  <si>
    <t xml:space="preserve">Document successfully created; Document successfully merged; PDF created; Manually run by nirmita.patel27183@paruluniversity.ac.in; Timestamp: Apr 28 2026 7:57 AM</t>
  </si>
  <si>
    <t xml:space="preserve">Mrs. Kusum Lata Dhiman</t>
  </si>
  <si>
    <t xml:space="preserve">Software Testing and Quality Assurance</t>
  </si>
  <si>
    <t>2526ECD0317</t>
  </si>
  <si>
    <t>1KcwvvvDB7CKlB4-eJH-YTf5wA00SdYyJ</t>
  </si>
  <si>
    <t>https://drive.google.com/file/d/1KcwvvvDB7CKlB4-eJH-YTf5wA00SdYyJ/view?usp=drivesdk</t>
  </si>
  <si>
    <t xml:space="preserve">Janmejay Kumar Vishwakarma</t>
  </si>
  <si>
    <t xml:space="preserve">Big Data Analytics</t>
  </si>
  <si>
    <t>2526ECD0318</t>
  </si>
  <si>
    <t>1TXZkiaoDXxtsNyzABbMrK9jRynf0Ini8</t>
  </si>
  <si>
    <t>https://drive.google.com/file/d/1TXZkiaoDXxtsNyzABbMrK9jRynf0Ini8/view?usp=drivesdk</t>
  </si>
  <si>
    <t>2526ECD0321</t>
  </si>
  <si>
    <t>1XNy3yXLtcrAzceIEoOGC4CLw51acxoiP</t>
  </si>
  <si>
    <t>https://drive.google.com/file/d/1XNy3yXLtcrAzceIEoOGC4CLw51acxoiP/view?usp=drivesdk</t>
  </si>
  <si>
    <t xml:space="preserve">Document successfully created; Document successfully merged; PDF created; Manually run by nirmita.patel27183@paruluniversity.ac.in; Timestamp: Apr 24 2026 7:11 AM</t>
  </si>
  <si>
    <t xml:space="preserve">Rahul Prajapati</t>
  </si>
  <si>
    <t xml:space="preserve">Engineering Mathematics-1_</t>
  </si>
  <si>
    <t>2526ECD0322</t>
  </si>
  <si>
    <t>1FhPCTCYR56g15R32FgF8pX1cN3rirpmc</t>
  </si>
  <si>
    <t>https://drive.google.com/file/d/1FhPCTCYR56g15R32FgF8pX1cN3rirpmc/view?usp=drivesdk</t>
  </si>
  <si>
    <t xml:space="preserve">Document successfully created; Document successfully merged; PDF created; Manually run by nirmita.patel27183@paruluniversity.ac.in; Timestamp: Apr 28 2026 8:08 AM</t>
  </si>
  <si>
    <t xml:space="preserve">Vishakha Khambhati</t>
  </si>
  <si>
    <t xml:space="preserve">Bio potential and Recorders </t>
  </si>
  <si>
    <t>2526ECD0323</t>
  </si>
  <si>
    <t>1H_kQmBARSBT7NyBU7vpDSlztgrKErIqO</t>
  </si>
  <si>
    <t>https://drive.google.com/file/d/1H_kQmBARSBT7NyBU7vpDSlztgrKErIqO/view?usp=drivesdk</t>
  </si>
  <si>
    <t>Pharmacy</t>
  </si>
  <si>
    <t xml:space="preserve">Dr. Ritesh Sinha</t>
  </si>
  <si>
    <t>Pathophysiology</t>
  </si>
  <si>
    <t>2526ECD0370</t>
  </si>
  <si>
    <t>1xaP73cUl_c7K6uEGh32xRmWQdWqbSyVE</t>
  </si>
  <si>
    <t>https://drive.google.com/file/d/1xaP73cUl_c7K6uEGh32xRmWQdWqbSyVE/view?usp=drivesdk</t>
  </si>
  <si>
    <t xml:space="preserve">Document successfully created; Document successfully merged; PDF created; Manually run by nirmita.patel27183@paruluniversity.ac.in; Timestamp: Apr 27 2026 12:28 AM</t>
  </si>
  <si>
    <t xml:space="preserve">Dr. Khushboo Kathorotiya</t>
  </si>
  <si>
    <t xml:space="preserve">Pharmaceutical Microbiology</t>
  </si>
  <si>
    <t>2526ECD0371</t>
  </si>
  <si>
    <t>1xxvE01SPJIFqp7AMSjeQqIrUQJwRC3D7</t>
  </si>
  <si>
    <t>https://drive.google.com/file/d/1xxvE01SPJIFqp7AMSjeQqIrUQJwRC3D7/view?usp=drivesdk</t>
  </si>
  <si>
    <t xml:space="preserve">Dr. Foram Patel</t>
  </si>
  <si>
    <t>Pharmacotherapeutics-II</t>
  </si>
  <si>
    <t>2526ECD0376</t>
  </si>
  <si>
    <t>1eqACz7Tn6SRm8CYBNq2VHaQdGABDC_gS</t>
  </si>
  <si>
    <t>https://drive.google.com/file/d/1eqACz7Tn6SRm8CYBNq2VHaQdGABDC_gS/view?usp=drivesdk</t>
  </si>
  <si>
    <t xml:space="preserve">Document successfully created; Document successfully merged; PDF created; Manually run by nirmita.patel27183@paruluniversity.ac.in; Timestamp: Apr 27 2026 12:29 AM</t>
  </si>
  <si>
    <t xml:space="preserve">Dr. Mansi Mistry</t>
  </si>
  <si>
    <t xml:space="preserve">Clinical Pharmacy</t>
  </si>
  <si>
    <t>2526ECD0379</t>
  </si>
  <si>
    <t>1u5EtHaOxTzcTTeInmYhoIh1D6gkI7kcu</t>
  </si>
  <si>
    <t>https://drive.google.com/file/d/1u5EtHaOxTzcTTeInmYhoIh1D6gkI7kcu/view?usp=drivesdk</t>
  </si>
  <si>
    <t xml:space="preserve">Document successfully created; Document successfully merged; PDF created; Manually run by nirmita.patel27183@paruluniversity.ac.in; Timestamp: Apr 27 2026 12:30 AM</t>
  </si>
  <si>
    <t xml:space="preserve">Ms. Dulari Shah</t>
  </si>
  <si>
    <t xml:space="preserve">Clinical Toxicology</t>
  </si>
  <si>
    <t>2526ECD0380</t>
  </si>
  <si>
    <t>1TWDWRdaeUh9n2dHWhH-iFv-jN0hUyHj3</t>
  </si>
  <si>
    <t>https://drive.google.com/file/d/1TWDWRdaeUh9n2dHWhH-iFv-jN0hUyHj3/view?usp=drivesdk</t>
  </si>
  <si>
    <t xml:space="preserve">Dr. Apoorva Vaishnav</t>
  </si>
  <si>
    <t xml:space="preserve">Pharmacoepidemiology and Pharmacoeconomics</t>
  </si>
  <si>
    <t>2526ECD0381</t>
  </si>
  <si>
    <t>1vuC4kzHeyWFP7W-5GYtB71ehxWNcQvt5</t>
  </si>
  <si>
    <t>https://drive.google.com/file/d/1vuC4kzHeyWFP7W-5GYtB71ehxWNcQvt5/view?usp=drivesdk</t>
  </si>
  <si>
    <t>COA</t>
  </si>
  <si>
    <t xml:space="preserve">Mr. Bhavik</t>
  </si>
  <si>
    <t xml:space="preserve">Communication Skills</t>
  </si>
  <si>
    <t>2526ECD0001</t>
  </si>
  <si>
    <t>1Vnf_Gd689fVXahICarZhZVcdqOYwxszn</t>
  </si>
  <si>
    <t>https://drive.google.com/file/d/1Vnf_Gd689fVXahICarZhZVcdqOYwxszn/view?usp=drivesdk</t>
  </si>
  <si>
    <t xml:space="preserve">Document successfully created; Document successfully merged; PDF created; Manually run by nirmita.patel27183@paruluniversity.ac.in; Timestamp: Apr 27 2026 12:37 AM</t>
  </si>
  <si>
    <t xml:space="preserve">Dr. Sunil</t>
  </si>
  <si>
    <t xml:space="preserve">Farming based livelihood systems</t>
  </si>
  <si>
    <t>2526ECD0002</t>
  </si>
  <si>
    <t>1rWGveXfXcSoazhYBcIGH5rM3jY5J1i_3</t>
  </si>
  <si>
    <t>https://drive.google.com/file/d/1rWGveXfXcSoazhYBcIGH5rM3jY5J1i_3/view?usp=drivesdk</t>
  </si>
  <si>
    <t xml:space="preserve">Dr. Rutul</t>
  </si>
  <si>
    <t xml:space="preserve">Fundamentals of Agronomy</t>
  </si>
  <si>
    <t>2526ECD0003</t>
  </si>
  <si>
    <t>1n0IGABF2qko83ysB_gJOyDsNmc0bVinP</t>
  </si>
  <si>
    <t>https://drive.google.com/file/d/1n0IGABF2qko83ysB_gJOyDsNmc0bVinP/view?usp=drivesdk</t>
  </si>
  <si>
    <t xml:space="preserve">Dr. Ronak</t>
  </si>
  <si>
    <t xml:space="preserve">Fundamentals of Horticulture</t>
  </si>
  <si>
    <t>2526ECD0004</t>
  </si>
  <si>
    <t>1LArfLOeCmHb5nh78KJYMNgiAhRkApOYP</t>
  </si>
  <si>
    <t>https://drive.google.com/file/d/1LArfLOeCmHb5nh78KJYMNgiAhRkApOYP/view?usp=drivesdk</t>
  </si>
  <si>
    <t xml:space="preserve">Dr. Mayur</t>
  </si>
  <si>
    <t xml:space="preserve">Fundamentals of Nematology</t>
  </si>
  <si>
    <t>2526ECD0005</t>
  </si>
  <si>
    <t>1sOcYXh44s39vzXtjEhd1TCpvstgmjJ8X</t>
  </si>
  <si>
    <t>https://drive.google.com/file/d/1sOcYXh44s39vzXtjEhd1TCpvstgmjJ8X/view?usp=drivesdk</t>
  </si>
  <si>
    <t xml:space="preserve">Mr.Dixit Mistry</t>
  </si>
  <si>
    <t xml:space="preserve">Farm Machinery and Power</t>
  </si>
  <si>
    <t>2526ECD0006</t>
  </si>
  <si>
    <t>1LeSZpc1l-jD57jCqonYVUJkeAJM9F4r-</t>
  </si>
  <si>
    <t>https://drive.google.com/file/d/1LeSZpc1l-jD57jCqonYVUJkeAJM9F4r-/view?usp=drivesdk</t>
  </si>
  <si>
    <t xml:space="preserve">Document successfully created; Document successfully merged; PDF created; Manually run by nirmita.patel27183@paruluniversity.ac.in; Timestamp: Apr 27 2026 12:38 AM</t>
  </si>
  <si>
    <t xml:space="preserve">Water Management</t>
  </si>
  <si>
    <t>2526ECD0007</t>
  </si>
  <si>
    <t>1GTO1aw8IcrPVFnfGbrhbq2SYG7nxfiOw</t>
  </si>
  <si>
    <t>https://drive.google.com/file/d/1GTO1aw8IcrPVFnfGbrhbq2SYG7nxfiOw/view?usp=drivesdk</t>
  </si>
  <si>
    <t xml:space="preserve">Dr. Roma</t>
  </si>
  <si>
    <t xml:space="preserve">Insect Ecology and Integrated Pest Management</t>
  </si>
  <si>
    <t>2526ECD0008</t>
  </si>
  <si>
    <t>1VF2_n-hXUqdyJkPn4OPuwo0cqKT1wYge</t>
  </si>
  <si>
    <t>https://drive.google.com/file/d/1VF2_n-hXUqdyJkPn4OPuwo0cqKT1wYge/view?usp=drivesdk</t>
  </si>
  <si>
    <t xml:space="preserve">Dr. Apexa</t>
  </si>
  <si>
    <t xml:space="preserve">Weed Management</t>
  </si>
  <si>
    <t>2526ECD0009</t>
  </si>
  <si>
    <t>14KYbSp5deUFQaeforHKVlKUiYVh3sfQY</t>
  </si>
  <si>
    <t>https://drive.google.com/file/d/14KYbSp5deUFQaeforHKVlKUiYVh3sfQY/view?usp=drivesdk</t>
  </si>
  <si>
    <t xml:space="preserve">Mr. Tariq</t>
  </si>
  <si>
    <t xml:space="preserve">Fundamentals of Agri Biotechnology</t>
  </si>
  <si>
    <t>2526ECD0010</t>
  </si>
  <si>
    <t>1zMiVLBtDcV13gDI3bquTeXW2YSC1thrT</t>
  </si>
  <si>
    <t>https://drive.google.com/file/d/1zMiVLBtDcV13gDI3bquTeXW2YSC1thrT/view?usp=drivesdk</t>
  </si>
  <si>
    <t xml:space="preserve">Dr. Saleha</t>
  </si>
  <si>
    <t xml:space="preserve">Essentials of Plant Biochemistry</t>
  </si>
  <si>
    <t>2526ECD0011</t>
  </si>
  <si>
    <t>1P-X0-kHiBQhQ-rPJ_Wpd_fqxy0BpN-c5</t>
  </si>
  <si>
    <t>https://drive.google.com/file/d/1P-X0-kHiBQhQ-rPJ_Wpd_fqxy0BpN-c5/view?usp=drivesdk</t>
  </si>
  <si>
    <t>PIAS</t>
  </si>
  <si>
    <t xml:space="preserve">Ms.Akshara </t>
  </si>
  <si>
    <t xml:space="preserve">Basics of Forensic Chemical Sciences</t>
  </si>
  <si>
    <t>2526ECD0013</t>
  </si>
  <si>
    <t>19Ng6brw4ManvAtgNkq19GI8nq2IO4iJe</t>
  </si>
  <si>
    <t>https://drive.google.com/file/d/19Ng6brw4ManvAtgNkq19GI8nq2IO4iJe/view?usp=drivesdk</t>
  </si>
  <si>
    <t xml:space="preserve">Document successfully created; Document successfully merged; PDF created; Manually run by nirmita.patel27183@paruluniversity.ac.in; Timestamp: Apr 27 2026 12:50 AM</t>
  </si>
  <si>
    <t xml:space="preserve">Dr. Debesh</t>
  </si>
  <si>
    <t xml:space="preserve">Forensic Anthropology &amp; Odontology</t>
  </si>
  <si>
    <t>2526ECD0014</t>
  </si>
  <si>
    <t>1OSUvKkU15Cgn6BYIeVuCRz2wnCA_mU6T</t>
  </si>
  <si>
    <t>https://drive.google.com/file/d/1OSUvKkU15Cgn6BYIeVuCRz2wnCA_mU6T/view?usp=drivesdk</t>
  </si>
  <si>
    <t xml:space="preserve">Dr. Amit Chauhan</t>
  </si>
  <si>
    <t xml:space="preserve">Criminology, Criminal law and Police organization</t>
  </si>
  <si>
    <t>2526ECD0015</t>
  </si>
  <si>
    <t>1JsQcL6eJ6M3-L_1lMltLYevoD91O36pF</t>
  </si>
  <si>
    <t>https://drive.google.com/file/d/1JsQcL6eJ6M3-L_1lMltLYevoD91O36pF/view?usp=drivesdk</t>
  </si>
  <si>
    <t xml:space="preserve">Ms. Tikshata</t>
  </si>
  <si>
    <t xml:space="preserve">Questioned Documents and Fraud Investigation</t>
  </si>
  <si>
    <t>2526ECD0016</t>
  </si>
  <si>
    <t>1xhgosKNRhaFRYUZkzU0zJFlmoUUsd-FG</t>
  </si>
  <si>
    <t>https://drive.google.com/file/d/1xhgosKNRhaFRYUZkzU0zJFlmoUUsd-FG/view?usp=drivesdk</t>
  </si>
  <si>
    <t xml:space="preserve">Ms. Komal</t>
  </si>
  <si>
    <t xml:space="preserve">Forensic Investigation; tools and Techniques</t>
  </si>
  <si>
    <t>2526ECD0017</t>
  </si>
  <si>
    <t>1WADXewh_9wBigkLFUh24uDT7xdOdxYuA</t>
  </si>
  <si>
    <t>https://drive.google.com/file/d/1WADXewh_9wBigkLFUh24uDT7xdOdxYuA/view?usp=drivesdk</t>
  </si>
  <si>
    <t xml:space="preserve">Advancement in Forensic Science</t>
  </si>
  <si>
    <t>2526ECD0018</t>
  </si>
  <si>
    <t>1GBMWk_-sP33Nsu03rXBCjlVqeciUQtb-</t>
  </si>
  <si>
    <t>https://drive.google.com/file/d/1GBMWk_-sP33Nsu03rXBCjlVqeciUQtb-/view?usp=drivesdk</t>
  </si>
  <si>
    <t xml:space="preserve">Document successfully created; Document successfully merged; PDF created; Manually run by nirmita.patel27183@paruluniversity.ac.in; Timestamp: Apr 27 2026 12:51 AM</t>
  </si>
  <si>
    <t xml:space="preserve">Ms. Smita das</t>
  </si>
  <si>
    <t xml:space="preserve">Forensic Anthropology </t>
  </si>
  <si>
    <t>2526ECD0019</t>
  </si>
  <si>
    <t>1LdMgNY7PAaguHSQ1sUetDXc569cCpRSd</t>
  </si>
  <si>
    <t>https://drive.google.com/file/d/1LdMgNY7PAaguHSQ1sUetDXc569cCpRSd/view?usp=drivesdk</t>
  </si>
  <si>
    <t xml:space="preserve">Mr. Karan </t>
  </si>
  <si>
    <r>
      <rPr>
        <sz val="11"/>
        <color rgb="FF434343"/>
        <rFont val="Times New Roman"/>
      </rPr>
      <t xml:space="preserve">Digital and Cyber Forensic Science</t>
    </r>
    <r>
      <rPr>
        <b/>
        <sz val="11"/>
        <color indexed="2"/>
        <rFont val="Times New Roman"/>
      </rPr>
      <t xml:space="preserve"> </t>
    </r>
  </si>
  <si>
    <t>2526ECD0020</t>
  </si>
  <si>
    <t>1fU34W5S8POAFrtdM_bakKLLxy9ql4ZOF</t>
  </si>
  <si>
    <t>https://drive.google.com/file/d/1fU34W5S8POAFrtdM_bakKLLxy9ql4ZOF/view?usp=drivesdk</t>
  </si>
  <si>
    <t xml:space="preserve">Ms. Shaile Thakur</t>
  </si>
  <si>
    <t xml:space="preserve">Forensic Science Instrumentation</t>
  </si>
  <si>
    <t>2526ECD0021</t>
  </si>
  <si>
    <t>1MmYPUpjGD1lLpWB6j2aDKw6Q1_-J3x2X</t>
  </si>
  <si>
    <t>https://drive.google.com/file/d/1MmYPUpjGD1lLpWB6j2aDKw6Q1_-J3x2X/view?usp=drivesdk</t>
  </si>
  <si>
    <t xml:space="preserve">Ms. Sheetal</t>
  </si>
  <si>
    <t xml:space="preserve">Advancemed intrumentation in forensic Chemical Sciences</t>
  </si>
  <si>
    <t>2526ECD0023</t>
  </si>
  <si>
    <t>1i9fctB4ExLr1NP_qkiL9-dK3XBzjWCff</t>
  </si>
  <si>
    <t>https://drive.google.com/file/d/1i9fctB4ExLr1NP_qkiL9-dK3XBzjWCff/view?usp=drivesdk</t>
  </si>
  <si>
    <t xml:space="preserve">Ms. Akshara</t>
  </si>
  <si>
    <t xml:space="preserve">Advaced concepts of Forensiix chemistry and Narcotics</t>
  </si>
  <si>
    <t>2526ECD0024</t>
  </si>
  <si>
    <t>1F44P0RyO2Tuf7J8AMB4ZH8nNG0uXIF9p</t>
  </si>
  <si>
    <t>https://drive.google.com/file/d/1F44P0RyO2Tuf7J8AMB4ZH8nNG0uXIF9p/view?usp=drivesdk</t>
  </si>
  <si>
    <t xml:space="preserve">Document successfully created; Document successfully merged; PDF created; Manually run by nirmita.patel27183@paruluniversity.ac.in; Timestamp: Apr 27 2026 12:52 AM</t>
  </si>
  <si>
    <t xml:space="preserve">Ms. Shivangi</t>
  </si>
  <si>
    <t xml:space="preserve">Advanced concepts of Biology and Instrumentation in biological Sceinces</t>
  </si>
  <si>
    <t>2526ECD0025</t>
  </si>
  <si>
    <t>1NpM516V7kw5uAuzLr8uLefOr8Hkp0Ibz</t>
  </si>
  <si>
    <t>https://drive.google.com/file/d/1NpM516V7kw5uAuzLr8uLefOr8Hkp0Ibz/view?usp=drivesdk</t>
  </si>
  <si>
    <t xml:space="preserve">Advanced concepts of forensic Biology, serology and wild life Forensics</t>
  </si>
  <si>
    <t>2526ECD0026</t>
  </si>
  <si>
    <t>1hES5asLKXrO3vUyrMhU4yn-jkzD4Oyn2</t>
  </si>
  <si>
    <t>https://drive.google.com/file/d/1hES5asLKXrO3vUyrMhU4yn-jkzD4Oyn2/view?usp=drivesdk</t>
  </si>
  <si>
    <t xml:space="preserve">Advanced Instrumentation in Physical Science</t>
  </si>
  <si>
    <t>2526ECD0027</t>
  </si>
  <si>
    <t>1Bx8eIjsn2UbD-Eebh-HRXGc_WzEk5wAn</t>
  </si>
  <si>
    <t>https://drive.google.com/file/d/1Bx8eIjsn2UbD-Eebh-HRXGc_WzEk5wAn/view?usp=drivesdk</t>
  </si>
  <si>
    <t xml:space="preserve">Advanced concepts of Questioned Documents examination</t>
  </si>
  <si>
    <t>2526ECD0028</t>
  </si>
  <si>
    <t>1_gLy1A1k3IzWX8sPqxNeMaHtDPmlby8T</t>
  </si>
  <si>
    <t>https://drive.google.com/file/d/1_gLy1A1k3IzWX8sPqxNeMaHtDPmlby8T/view?usp=drivesdk</t>
  </si>
  <si>
    <t xml:space="preserve">Advanced concepts of Fingerprint examiation and Photography</t>
  </si>
  <si>
    <t>2526ECD0029</t>
  </si>
  <si>
    <t>129xvh4OCvFENvZdEzfEk240CcJAe8lgI</t>
  </si>
  <si>
    <t>https://drive.google.com/file/d/129xvh4OCvFENvZdEzfEk240CcJAe8lgI/view?usp=drivesdk</t>
  </si>
  <si>
    <t xml:space="preserve">Advanced instrumentation in digital Forensics</t>
  </si>
  <si>
    <t>2526ECD0030</t>
  </si>
  <si>
    <t>1eUj4GMYEnEy-XeLET7dqkbmbju8N6Mq-</t>
  </si>
  <si>
    <t>https://drive.google.com/file/d/1eUj4GMYEnEy-XeLET7dqkbmbju8N6Mq-/view?usp=drivesdk</t>
  </si>
  <si>
    <t xml:space="preserve">Document successfully created; Document successfully merged; PDF created; Manually run by nirmita.patel27183@paruluniversity.ac.in; Timestamp: Apr 27 2026 12:53 AM</t>
  </si>
  <si>
    <t xml:space="preserve">Reverse engineering and Malware analysis</t>
  </si>
  <si>
    <t>2526ECD0031</t>
  </si>
  <si>
    <t>1iIC_Ms2xqUgQ7aWpqCZivM2j2GjziWvO</t>
  </si>
  <si>
    <t>https://drive.google.com/file/d/1iIC_Ms2xqUgQ7aWpqCZivM2j2GjziWvO/view?usp=drivesdk</t>
  </si>
  <si>
    <t xml:space="preserve">Dr. Papu Kumar Naik</t>
  </si>
  <si>
    <t xml:space="preserve">Research Methodology, Scientific Writing and Statistical Techniques</t>
  </si>
  <si>
    <t>2526ECD0032</t>
  </si>
  <si>
    <t>1Kws5rAEpQ7SYdQpnp3GSAg4KYwg9dAkK</t>
  </si>
  <si>
    <t>https://drive.google.com/file/d/1Kws5rAEpQ7SYdQpnp3GSAg4KYwg9dAkK/view?usp=drivesdk</t>
  </si>
  <si>
    <t xml:space="preserve">Dr. Vivek Mishra</t>
  </si>
  <si>
    <t xml:space="preserve">Petroleum and Coal Geology</t>
  </si>
  <si>
    <t>2526ECD0033</t>
  </si>
  <si>
    <t>1dMf9fCdDO0jMie9YGcrltPpMI-1lHHVt</t>
  </si>
  <si>
    <t>https://drive.google.com/file/d/1dMf9fCdDO0jMie9YGcrltPpMI-1lHHVt/view?usp=drivesdk</t>
  </si>
  <si>
    <t xml:space="preserve">Dr. Apurva Sharma</t>
  </si>
  <si>
    <t xml:space="preserve">Solid Waste Management</t>
  </si>
  <si>
    <t>2526ECD0034</t>
  </si>
  <si>
    <t>10NKv0ZdsE9EnuC1E1sGsfk7Wpa3ZwLz_</t>
  </si>
  <si>
    <t>https://drive.google.com/file/d/10NKv0ZdsE9EnuC1E1sGsfk7Wpa3ZwLz_/view?usp=drivesdk</t>
  </si>
  <si>
    <t xml:space="preserve">Ms. Malvika Gohil </t>
  </si>
  <si>
    <t xml:space="preserve">Remote Sensing and GIS</t>
  </si>
  <si>
    <t>2526ECD0035</t>
  </si>
  <si>
    <t>1WbO8bLQxFadmypBOHMC-nY-aReqc3pEY</t>
  </si>
  <si>
    <t>https://drive.google.com/file/d/1WbO8bLQxFadmypBOHMC-nY-aReqc3pEY/view?usp=drivesdk</t>
  </si>
  <si>
    <t xml:space="preserve">Dr. Parul Maurya</t>
  </si>
  <si>
    <t xml:space="preserve">Disaster Management</t>
  </si>
  <si>
    <t>2526ECD0036</t>
  </si>
  <si>
    <t>1c_17CWdpYf4ZobB-aPQtcnfATZrkaWCW</t>
  </si>
  <si>
    <t>https://drive.google.com/file/d/1c_17CWdpYf4ZobB-aPQtcnfATZrkaWCW/view?usp=drivesdk</t>
  </si>
  <si>
    <t xml:space="preserve">Document successfully created; Document successfully merged; PDF created; Manually run by nirmita.patel27183@paruluniversity.ac.in; Timestamp: Apr 27 2026 12:54 AM</t>
  </si>
  <si>
    <t xml:space="preserve">Dr Husain Shabbar</t>
  </si>
  <si>
    <t>Paleontology</t>
  </si>
  <si>
    <t>2526ECD0037</t>
  </si>
  <si>
    <t>18UfMjgzVQ0Qs5gyAlzsAK3z2GvM4MkpJ</t>
  </si>
  <si>
    <t>https://drive.google.com/file/d/18UfMjgzVQ0Qs5gyAlzsAK3z2GvM4MkpJ/view?usp=drivesdk</t>
  </si>
  <si>
    <t xml:space="preserve">Dr. Sumit Pathak</t>
  </si>
  <si>
    <t xml:space="preserve">Structural Geology &amp; Tectonics</t>
  </si>
  <si>
    <t>2526ECD0038</t>
  </si>
  <si>
    <t>1GbkwcAx1SOWfG9-WZZk-nfDApd0mKNLr</t>
  </si>
  <si>
    <t>https://drive.google.com/file/d/1GbkwcAx1SOWfG9-WZZk-nfDApd0mKNLr/view?usp=drivesdk</t>
  </si>
  <si>
    <t xml:space="preserve">Dr. Nikhil Savio</t>
  </si>
  <si>
    <t xml:space="preserve">Environmental Hazards and Disaster Management </t>
  </si>
  <si>
    <t>2526ECD0039</t>
  </si>
  <si>
    <t>1Yx6W70J97mk5Kyom_2kfvYNjDrxVxhFR</t>
  </si>
  <si>
    <t>https://drive.google.com/file/d/1Yx6W70J97mk5Kyom_2kfvYNjDrxVxhFR/view?usp=drivesdk</t>
  </si>
  <si>
    <t xml:space="preserve">Dr. Jalpa Jadeja</t>
  </si>
  <si>
    <t xml:space="preserve">Biodiversity &amp; Conservation</t>
  </si>
  <si>
    <t>2526ECD0040</t>
  </si>
  <si>
    <t>1LaV0oolQAX1M-SAfsTlHsIZwptE_fn6q</t>
  </si>
  <si>
    <t>https://drive.google.com/file/d/1LaV0oolQAX1M-SAfsTlHsIZwptE_fn6q/view?usp=drivesdk</t>
  </si>
  <si>
    <t xml:space="preserve">Dr. Pankaj Kumar</t>
  </si>
  <si>
    <t xml:space="preserve">Advanced Monitoring and Analytical Techniques for Environmental Science</t>
  </si>
  <si>
    <t>2526ECD0041</t>
  </si>
  <si>
    <t>1JdgVFYjUb7C710n9p33XIfo3PuucXnh2</t>
  </si>
  <si>
    <t>https://drive.google.com/file/d/1JdgVFYjUb7C710n9p33XIfo3PuucXnh2/view?usp=drivesdk</t>
  </si>
  <si>
    <t xml:space="preserve">Dr. Hiral Gaud</t>
  </si>
  <si>
    <t xml:space="preserve">Cell Biology</t>
  </si>
  <si>
    <t>2526ECD0042</t>
  </si>
  <si>
    <t>1Tuj1RTJxA7guHuQ2QW5-ilLBSGm4kJPa</t>
  </si>
  <si>
    <t>https://drive.google.com/file/d/1Tuj1RTJxA7guHuQ2QW5-ilLBSGm4kJPa/view?usp=drivesdk</t>
  </si>
  <si>
    <t xml:space="preserve">Document successfully created; Document successfully merged; PDF created; Manually run by nirmita.patel27183@paruluniversity.ac.in; Timestamp: Apr 27 2026 12:55 AM</t>
  </si>
  <si>
    <t xml:space="preserve">Dr. Manali Singh</t>
  </si>
  <si>
    <t>Biomolecules</t>
  </si>
  <si>
    <t>2526ECD0043</t>
  </si>
  <si>
    <t>1aClCtfB6-xNEGA-7bSDxu3qN1nSnj5ha</t>
  </si>
  <si>
    <t>https://drive.google.com/file/d/1aClCtfB6-xNEGA-7bSDxu3qN1nSnj5ha/view?usp=drivesdk</t>
  </si>
  <si>
    <t xml:space="preserve">Dr. Sarmita Jana</t>
  </si>
  <si>
    <t xml:space="preserve">Molecular Biology</t>
  </si>
  <si>
    <t>2526ECD0044</t>
  </si>
  <si>
    <t>10t9aQppntziwYhtcqXg8i5Zn_RZOA4aN</t>
  </si>
  <si>
    <t>https://drive.google.com/file/d/10t9aQppntziwYhtcqXg8i5Zn_RZOA4aN/view?usp=drivesdk</t>
  </si>
  <si>
    <t xml:space="preserve">Mr. Prashant Patel</t>
  </si>
  <si>
    <t xml:space="preserve">Biochemical Pathway</t>
  </si>
  <si>
    <t>2526ECD0045</t>
  </si>
  <si>
    <t>1HZPIjMFNqy1gPFYJaKDiadyF_Oqwwypd</t>
  </si>
  <si>
    <t>https://drive.google.com/file/d/1HZPIjMFNqy1gPFYJaKDiadyF_Oqwwypd/view?usp=drivesdk</t>
  </si>
  <si>
    <t xml:space="preserve">Dr. Vasundhara Raina</t>
  </si>
  <si>
    <t xml:space="preserve">Principles of Genetics</t>
  </si>
  <si>
    <t>2526ECD0047</t>
  </si>
  <si>
    <t>1hoIhHi8rPFD1HZe9lqBoRYt0-qiSQ9cY</t>
  </si>
  <si>
    <t>https://drive.google.com/file/d/1hoIhHi8rPFD1HZe9lqBoRYt0-qiSQ9cY/view?usp=drivesdk</t>
  </si>
  <si>
    <t xml:space="preserve">Document successfully created; Document successfully merged; PDF created; Manually run by nirmita.patel27183@paruluniversity.ac.in; Timestamp: Apr 27 2026 12:56 AM</t>
  </si>
  <si>
    <t xml:space="preserve">Dr. Pranjali Chole</t>
  </si>
  <si>
    <t xml:space="preserve">Analytical tools and techniques  </t>
  </si>
  <si>
    <t>2526ECD0048</t>
  </si>
  <si>
    <t>1p2yGEdGdlxytgTx1c56mFE_F-Ufz6Eiz</t>
  </si>
  <si>
    <t>https://drive.google.com/file/d/1p2yGEdGdlxytgTx1c56mFE_F-Ufz6Eiz/view?usp=drivesdk</t>
  </si>
  <si>
    <t xml:space="preserve">Dr. Krishan Kumar</t>
  </si>
  <si>
    <t xml:space="preserve">Molecular Cell Biology</t>
  </si>
  <si>
    <t>2526ECD0049</t>
  </si>
  <si>
    <t>1Mz3L-R7GmHV7yFVbAJB2G251Y9aQmyUh</t>
  </si>
  <si>
    <t>https://drive.google.com/file/d/1Mz3L-R7GmHV7yFVbAJB2G251Y9aQmyUh/view?usp=drivesdk</t>
  </si>
  <si>
    <t xml:space="preserve">Dr. Saurabhkumar Mehta</t>
  </si>
  <si>
    <t xml:space="preserve">Plant Genetics and Breeding</t>
  </si>
  <si>
    <t>2526ECD0051</t>
  </si>
  <si>
    <t>1nuvfpf-pktxZQ4Fn4othDCzGp4pHBxIT</t>
  </si>
  <si>
    <t>https://drive.google.com/file/d/1nuvfpf-pktxZQ4Fn4othDCzGp4pHBxIT/view?usp=drivesdk</t>
  </si>
  <si>
    <t xml:space="preserve">Dr. Dhwani Upadhyay</t>
  </si>
  <si>
    <t>Immunology</t>
  </si>
  <si>
    <t>2526ECD0052</t>
  </si>
  <si>
    <t>1iplezs2c8Ay5MayLVMTprt5UGBbv9EZO</t>
  </si>
  <si>
    <t>https://drive.google.com/file/d/1iplezs2c8Ay5MayLVMTprt5UGBbv9EZO/view?usp=drivesdk</t>
  </si>
  <si>
    <t xml:space="preserve">Dr. Vaibhav Sabale</t>
  </si>
  <si>
    <t xml:space="preserve">Bioinformatics and computational biology- 2</t>
  </si>
  <si>
    <t>2526ECD0053</t>
  </si>
  <si>
    <t>1cCjSxvns3QV3o5W2jIlYVXIwRXY9eFJZ</t>
  </si>
  <si>
    <t>https://drive.google.com/file/d/1cCjSxvns3QV3o5W2jIlYVXIwRXY9eFJZ/view?usp=drivesdk</t>
  </si>
  <si>
    <t xml:space="preserve">Document successfully created; Document successfully merged; PDF created; Manually run by nirmita.patel27183@paruluniversity.ac.in; Timestamp: Apr 27 2026 12:57 AM</t>
  </si>
  <si>
    <t xml:space="preserve">Dr.Esha Rami</t>
  </si>
  <si>
    <t xml:space="preserve">Genetic Engineering Technology</t>
  </si>
  <si>
    <t>2526ECD0055</t>
  </si>
  <si>
    <t>1hS-_HW8eWrZmb6fgo4xHhVVI9Xt7m2gn</t>
  </si>
  <si>
    <t>https://drive.google.com/file/d/1hS-_HW8eWrZmb6fgo4xHhVVI9Xt7m2gn/view?usp=drivesdk</t>
  </si>
  <si>
    <t xml:space="preserve">Dr. Jayvadan Vaishnav</t>
  </si>
  <si>
    <t xml:space="preserve">Enzymology and Protein engineering</t>
  </si>
  <si>
    <t>2526ECD0056</t>
  </si>
  <si>
    <t>1CuQqH5D6rDfzkuZ8-zllrGXzt-8DTY6b</t>
  </si>
  <si>
    <t>https://drive.google.com/file/d/1CuQqH5D6rDfzkuZ8-zllrGXzt-8DTY6b/view?usp=drivesdk</t>
  </si>
  <si>
    <t xml:space="preserve">Dr. Indrani Bhattacharya</t>
  </si>
  <si>
    <t xml:space="preserve">Advanced Immunology</t>
  </si>
  <si>
    <t>2526ECD0057</t>
  </si>
  <si>
    <t>1T1BHJT9NsdFO3UgJyllJiw-i1c8gLx-j</t>
  </si>
  <si>
    <t>https://drive.google.com/file/d/1T1BHJT9NsdFO3UgJyllJiw-i1c8gLx-j/view?usp=drivesdk</t>
  </si>
  <si>
    <t xml:space="preserve">Dr. Girish Deokar</t>
  </si>
  <si>
    <r>
      <rPr>
        <sz val="11"/>
        <color rgb="FF434343"/>
        <rFont val="Times New Roman"/>
      </rPr>
      <t xml:space="preserve">Industrial Microbiology</t>
    </r>
    <r>
      <rPr>
        <sz val="11"/>
        <color indexed="2"/>
        <rFont val="Times New Roman"/>
      </rPr>
      <t xml:space="preserve"> </t>
    </r>
  </si>
  <si>
    <t>2526ECD0058</t>
  </si>
  <si>
    <t>1RqZoUPZrYdtHZl2_c9xAjqL153Lb5WRy</t>
  </si>
  <si>
    <t>https://drive.google.com/file/d/1RqZoUPZrYdtHZl2_c9xAjqL153Lb5WRy/view?usp=drivesdk</t>
  </si>
  <si>
    <t xml:space="preserve">Dr.Usha Sabahrwal</t>
  </si>
  <si>
    <t xml:space="preserve">Medical Microbiology</t>
  </si>
  <si>
    <t>2526ECD0059</t>
  </si>
  <si>
    <t>1z9r1UbakzixRky6EtppR3ITVxGOMN6Wh</t>
  </si>
  <si>
    <t>https://drive.google.com/file/d/1z9r1UbakzixRky6EtppR3ITVxGOMN6Wh/view?usp=drivesdk</t>
  </si>
  <si>
    <t xml:space="preserve">Document successfully created; Document successfully merged; PDF created; Manually run by nirmita.patel27183@paruluniversity.ac.in; Timestamp: Apr 27 2026 12:58 AM</t>
  </si>
  <si>
    <t xml:space="preserve">Dr. Lovelesh Singh Saini</t>
  </si>
  <si>
    <t xml:space="preserve">Epigentics  </t>
  </si>
  <si>
    <t>2526ECD0060</t>
  </si>
  <si>
    <t>1J8DeN54qH2o2ZVhrUdohTsEmhA6_P59I</t>
  </si>
  <si>
    <t>https://drive.google.com/file/d/1J8DeN54qH2o2ZVhrUdohTsEmhA6_P59I/view?usp=drivesdk</t>
  </si>
  <si>
    <t xml:space="preserve">Dr. Kamal Bansod</t>
  </si>
  <si>
    <t xml:space="preserve">Organic Production Technology of Field Crops</t>
  </si>
  <si>
    <t>2526ECD0061</t>
  </si>
  <si>
    <t>1jHfZCOBm0dR7EaK65eqUfC-y8MuP_sBS</t>
  </si>
  <si>
    <t>https://drive.google.com/file/d/1jHfZCOBm0dR7EaK65eqUfC-y8MuP_sBS/view?usp=drivesdk</t>
  </si>
  <si>
    <t xml:space="preserve">Ms. Unnati Patel</t>
  </si>
  <si>
    <t xml:space="preserve">Fundamentals of Industrial Chemistry – I</t>
  </si>
  <si>
    <t>2526ECD0062</t>
  </si>
  <si>
    <t>1wu8xhB3HtJiS9NLo-YDcr5ryVipTUWyW</t>
  </si>
  <si>
    <t>https://drive.google.com/file/d/1wu8xhB3HtJiS9NLo-YDcr5ryVipTUWyW/view?usp=drivesdk</t>
  </si>
  <si>
    <t xml:space="preserve">Dr. Pavan Karkare</t>
  </si>
  <si>
    <t xml:space="preserve">Bioorganic Chemistry</t>
  </si>
  <si>
    <t>2526ECD0063</t>
  </si>
  <si>
    <t>1o_-nSaJuI8zj6mna45TNyklEXDWX3KlY</t>
  </si>
  <si>
    <t>https://drive.google.com/file/d/1o_-nSaJuI8zj6mna45TNyklEXDWX3KlY/view?usp=drivesdk</t>
  </si>
  <si>
    <t xml:space="preserve">Dr. Shanta Raj Lakshmi</t>
  </si>
  <si>
    <t xml:space="preserve">Heterocyclic chemistry</t>
  </si>
  <si>
    <t>2526ECD0064</t>
  </si>
  <si>
    <t>1VIBPKCQaHzYczVWB2PFhXnuDapMPzMov</t>
  </si>
  <si>
    <t>https://drive.google.com/file/d/1VIBPKCQaHzYczVWB2PFhXnuDapMPzMov/view?usp=drivesdk</t>
  </si>
  <si>
    <t xml:space="preserve">Dr. Surbhi Joshi</t>
  </si>
  <si>
    <t xml:space="preserve">Conventional gravimetric and titrimetric methods</t>
  </si>
  <si>
    <t>2526ECD0065</t>
  </si>
  <si>
    <t>1iiwK5OJTV24LHzTp5IGJCihNclbDlVBt</t>
  </si>
  <si>
    <t>https://drive.google.com/file/d/1iiwK5OJTV24LHzTp5IGJCihNclbDlVBt/view?usp=drivesdk</t>
  </si>
  <si>
    <t xml:space="preserve">Document successfully created; Document successfully merged; PDF created; Manually run by nirmita.patel27183@paruluniversity.ac.in; Timestamp: Apr 27 2026 12:59 AM</t>
  </si>
  <si>
    <t xml:space="preserve">Dr Sonam Ahuja </t>
  </si>
  <si>
    <t xml:space="preserve">Basic of Organic Chemistry-II </t>
  </si>
  <si>
    <t>2526ECD0066</t>
  </si>
  <si>
    <t>1vX9H8zW7SCIzGRKCMsJCHr1Qa8H67-Ki</t>
  </si>
  <si>
    <t>https://drive.google.com/file/d/1vX9H8zW7SCIzGRKCMsJCHr1Qa8H67-Ki/view?usp=drivesdk</t>
  </si>
  <si>
    <t xml:space="preserve">Dr. Gautam Patel</t>
  </si>
  <si>
    <t xml:space="preserve">Organic chemistry</t>
  </si>
  <si>
    <t>2526ECD0067</t>
  </si>
  <si>
    <t>1Mumd3cHZC2TOIyumN2IqzXoZqfqpba3z</t>
  </si>
  <si>
    <t>https://drive.google.com/file/d/1Mumd3cHZC2TOIyumN2IqzXoZqfqpba3z/view?usp=drivesdk</t>
  </si>
  <si>
    <t xml:space="preserve">Dr Jiten Chudasma</t>
  </si>
  <si>
    <t xml:space="preserve">Inorganic Chemistry-II</t>
  </si>
  <si>
    <t>2526ECD0068</t>
  </si>
  <si>
    <t>1sGugRtwpjXeMEsMK7KBUUtBy9yhhoVvv</t>
  </si>
  <si>
    <t>https://drive.google.com/file/d/1sGugRtwpjXeMEsMK7KBUUtBy9yhhoVvv/view?usp=drivesdk</t>
  </si>
  <si>
    <t xml:space="preserve">Dr. Kushan Parikh</t>
  </si>
  <si>
    <t xml:space="preserve">Applied Chemistry-II </t>
  </si>
  <si>
    <t>2526ECD0069</t>
  </si>
  <si>
    <t>11qDDrHhjj7ZD192pBcq64TIMZ8alsZqj</t>
  </si>
  <si>
    <t>https://drive.google.com/file/d/11qDDrHhjj7ZD192pBcq64TIMZ8alsZqj/view?usp=drivesdk</t>
  </si>
  <si>
    <t xml:space="preserve">Dr. Srujal Sonera</t>
  </si>
  <si>
    <t xml:space="preserve">Electro Analytical Techniques</t>
  </si>
  <si>
    <t>2526ECD0070</t>
  </si>
  <si>
    <t>1PDoN-z_H1Mt8Dy0DofL4KqpzgRodvPXM</t>
  </si>
  <si>
    <t>https://drive.google.com/file/d/1PDoN-z_H1Mt8Dy0DofL4KqpzgRodvPXM/view?usp=drivesdk</t>
  </si>
  <si>
    <t xml:space="preserve">Dr. Tirth Thaker</t>
  </si>
  <si>
    <t xml:space="preserve">Natural products</t>
  </si>
  <si>
    <t>2526ECD0071</t>
  </si>
  <si>
    <t>1mfY57SpIfPkLQOR2sD7OJz4HZ7qpAEXl</t>
  </si>
  <si>
    <t>https://drive.google.com/file/d/1mfY57SpIfPkLQOR2sD7OJz4HZ7qpAEXl/view?usp=drivesdk</t>
  </si>
  <si>
    <t xml:space="preserve">Dr. Chintan Somaiya</t>
  </si>
  <si>
    <t xml:space="preserve">Name Reactions &amp; mechanism</t>
  </si>
  <si>
    <t>2526ECD0072</t>
  </si>
  <si>
    <t>1YBsnsM3CPkNbt5WITXG0mFnKpSdpUQ6Z</t>
  </si>
  <si>
    <t>https://drive.google.com/file/d/1YBsnsM3CPkNbt5WITXG0mFnKpSdpUQ6Z/view?usp=drivesdk</t>
  </si>
  <si>
    <t xml:space="preserve">Document successfully created; Document successfully merged; PDF created; Manually run by nirmita.patel27183@paruluniversity.ac.in; Timestamp: Apr 27 2026 1:00 AM</t>
  </si>
  <si>
    <t xml:space="preserve">Dr. Asha Joshi Thanki</t>
  </si>
  <si>
    <t xml:space="preserve">Computational Chemistry</t>
  </si>
  <si>
    <t>2526ECD0073</t>
  </si>
  <si>
    <t>1jwSVH1CyVPk_9vL_nWRcmlowiqzKzFKY</t>
  </si>
  <si>
    <t>https://drive.google.com/file/d/1jwSVH1CyVPk_9vL_nWRcmlowiqzKzFKY/view?usp=drivesdk</t>
  </si>
  <si>
    <t xml:space="preserve">Mr. Setu Visavadia</t>
  </si>
  <si>
    <t xml:space="preserve">Industrial Instrumentation and Process Control - I</t>
  </si>
  <si>
    <t>2526ECD0074</t>
  </si>
  <si>
    <t>1dGcf7KmG0HOEn3QIYLel9oYrbd87-k7L</t>
  </si>
  <si>
    <t>https://drive.google.com/file/d/1dGcf7KmG0HOEn3QIYLel9oYrbd87-k7L/view?usp=drivesdk</t>
  </si>
  <si>
    <t xml:space="preserve">Dr. Yamee Shah</t>
  </si>
  <si>
    <r>
      <rPr>
        <sz val="11"/>
        <color rgb="FF434343"/>
        <rFont val="Times New Roman"/>
      </rPr>
      <t xml:space="preserve">Food Labeling and Consumer Awareness </t>
    </r>
    <r>
      <rPr>
        <b/>
        <sz val="11"/>
        <color indexed="2"/>
        <rFont val="Times New Roman"/>
      </rPr>
      <t xml:space="preserve"> </t>
    </r>
  </si>
  <si>
    <t>2526ECD0076</t>
  </si>
  <si>
    <t>1OtVDlXi06Knz22wa51NVGpBFGzg98jPG</t>
  </si>
  <si>
    <t>https://drive.google.com/file/d/1OtVDlXi06Knz22wa51NVGpBFGzg98jPG/view?usp=drivesdk</t>
  </si>
  <si>
    <t xml:space="preserve">Dr. Deepika Anand</t>
  </si>
  <si>
    <t xml:space="preserve">Food Chemistry</t>
  </si>
  <si>
    <t>2526ECD0077</t>
  </si>
  <si>
    <t>16OT2VsVgVSOsl7oXt148Mk51X4if4xih</t>
  </si>
  <si>
    <t>https://drive.google.com/file/d/16OT2VsVgVSOsl7oXt148Mk51X4if4xih/view?usp=drivesdk</t>
  </si>
  <si>
    <t xml:space="preserve">Document successfully created; Document successfully merged; PDF created; Manually run by nirmita.patel27183@paruluniversity.ac.in; Timestamp: Apr 27 2026 1:01 AM</t>
  </si>
  <si>
    <t xml:space="preserve">Dr. Sheetal Chhaya</t>
  </si>
  <si>
    <r>
      <rPr>
        <sz val="11"/>
        <color rgb="FF434343"/>
        <rFont val="Times New Roman"/>
      </rPr>
      <t xml:space="preserve">Introduction to Nutrition</t>
    </r>
    <r>
      <rPr>
        <b/>
        <sz val="11"/>
        <color rgb="FF434343"/>
        <rFont val="Times New Roman"/>
      </rPr>
      <t xml:space="preserve"> </t>
    </r>
  </si>
  <si>
    <t>2526ECD0078</t>
  </si>
  <si>
    <t>1zmqt11BHP-b49Mpg4teJro2u_pjSDZtQ</t>
  </si>
  <si>
    <t>https://drive.google.com/file/d/1zmqt11BHP-b49Mpg4teJro2u_pjSDZtQ/view?usp=drivesdk</t>
  </si>
  <si>
    <t xml:space="preserve">Ms. Gauri Bhoyar</t>
  </si>
  <si>
    <t xml:space="preserve">Nutrition Physiology 2</t>
  </si>
  <si>
    <t>2526ECD0079</t>
  </si>
  <si>
    <t>1y6XvEc8lsdJQhX2n3u5uUX0pJWzJ-m9C</t>
  </si>
  <si>
    <t>https://drive.google.com/file/d/1y6XvEc8lsdJQhX2n3u5uUX0pJWzJ-m9C/view?usp=drivesdk</t>
  </si>
  <si>
    <t xml:space="preserve">Ms. Gayatri Parmar</t>
  </si>
  <si>
    <t xml:space="preserve">Meal Planning in Lifecyle</t>
  </si>
  <si>
    <t>2526ECD0080</t>
  </si>
  <si>
    <t>12oJZX0zOCxeyiyPdV8DAUW89y4XPydtV</t>
  </si>
  <si>
    <t>https://drive.google.com/file/d/12oJZX0zOCxeyiyPdV8DAUW89y4XPydtV/view?usp=drivesdk</t>
  </si>
  <si>
    <t xml:space="preserve">Ms. Mansi Patel</t>
  </si>
  <si>
    <t xml:space="preserve">Nutritional Status Assessment</t>
  </si>
  <si>
    <t>2526ECD0081</t>
  </si>
  <si>
    <t>1os72qtt2Z0ibsDYfndDCB6mHFoya68C5</t>
  </si>
  <si>
    <t>https://drive.google.com/file/d/1os72qtt2Z0ibsDYfndDCB6mHFoya68C5/view?usp=drivesdk</t>
  </si>
  <si>
    <t xml:space="preserve">Dhanya Joseph</t>
  </si>
  <si>
    <t xml:space="preserve">Food Chemistry - II</t>
  </si>
  <si>
    <t>2526ECD0082</t>
  </si>
  <si>
    <t>1dMVe7aTKqPR16wi0kXgAPH7K0i_1gvsQ</t>
  </si>
  <si>
    <t>https://drive.google.com/file/d/1dMVe7aTKqPR16wi0kXgAPH7K0i_1gvsQ/view?usp=drivesdk</t>
  </si>
  <si>
    <t xml:space="preserve">Dr. Anil Ghorband</t>
  </si>
  <si>
    <t xml:space="preserve">Introduction to Food Technology -II</t>
  </si>
  <si>
    <t>2526ECD0083</t>
  </si>
  <si>
    <t>1lQrxfn8QvGJpg9Ok4QOBHwv8cfVtFS71</t>
  </si>
  <si>
    <t>https://drive.google.com/file/d/1lQrxfn8QvGJpg9Ok4QOBHwv8cfVtFS71/view?usp=drivesdk</t>
  </si>
  <si>
    <t xml:space="preserve">Post-Harvest Technology</t>
  </si>
  <si>
    <t>2526ECD0084</t>
  </si>
  <si>
    <t>1iInHBI7YryE88xC0_Ur__tiz-jkT7VdZ</t>
  </si>
  <si>
    <t>https://drive.google.com/file/d/1iInHBI7YryE88xC0_Ur__tiz-jkT7VdZ/view?usp=drivesdk</t>
  </si>
  <si>
    <t xml:space="preserve">Document successfully created; Document successfully merged; PDF created; Manually run by nirmita.patel27183@paruluniversity.ac.in; Timestamp: Apr 27 2026 1:02 AM</t>
  </si>
  <si>
    <t xml:space="preserve">Mr.Awanish Singh</t>
  </si>
  <si>
    <t xml:space="preserve">Spice and Flavour Technology</t>
  </si>
  <si>
    <t>2526ECD0085</t>
  </si>
  <si>
    <t>1q-nERTmAJm3mVWQUnf1MijBM3PO3o8Ru</t>
  </si>
  <si>
    <t>https://drive.google.com/file/d/1q-nERTmAJm3mVWQUnf1MijBM3PO3o8Ru/view?usp=drivesdk</t>
  </si>
  <si>
    <t xml:space="preserve">Processing of Milk and Milk Products </t>
  </si>
  <si>
    <t>2526ECD0086</t>
  </si>
  <si>
    <t>1UzCqEs-WXPC0FOOEdyWwP06WnT4vI_sC</t>
  </si>
  <si>
    <t>https://drive.google.com/file/d/1UzCqEs-WXPC0FOOEdyWwP06WnT4vI_sC/view?usp=drivesdk</t>
  </si>
  <si>
    <t xml:space="preserve">Ms.Sachin Suse</t>
  </si>
  <si>
    <t xml:space="preserve">Food Additives</t>
  </si>
  <si>
    <t>2526ECD0087</t>
  </si>
  <si>
    <t>1_3ZBYMmTsRyqvcm7YAQ2t6T37Nr1_t-0</t>
  </si>
  <si>
    <t>https://drive.google.com/file/d/1_3ZBYMmTsRyqvcm7YAQ2t6T37Nr1_t-0/view?usp=drivesdk</t>
  </si>
  <si>
    <t xml:space="preserve">Dr. Gunnam Venkata Ratnalu</t>
  </si>
  <si>
    <t xml:space="preserve">Economic Geology</t>
  </si>
  <si>
    <t>2526ECD0088</t>
  </si>
  <si>
    <t>1JOrrO8qyp9nwxYLLdaxP7yQOMQHr2sn8</t>
  </si>
  <si>
    <t>https://drive.google.com/file/d/1JOrrO8qyp9nwxYLLdaxP7yQOMQHr2sn8/view?usp=drivesdk</t>
  </si>
  <si>
    <t>ARTS</t>
  </si>
  <si>
    <t xml:space="preserve">Dr. Venkatesh Aravindh R.</t>
  </si>
  <si>
    <t xml:space="preserve">History of Print Journalism</t>
  </si>
  <si>
    <t>2526ECD0090</t>
  </si>
  <si>
    <t>1WZ--KGTXcyCHIJbvInUgsJsXCLFL9yWn</t>
  </si>
  <si>
    <t>https://drive.google.com/file/d/1WZ--KGTXcyCHIJbvInUgsJsXCLFL9yWn/view?usp=drivesdk</t>
  </si>
  <si>
    <t xml:space="preserve">Document successfully created; Document successfully merged; PDF created; Manually run by nirmita.patel27183@paruluniversity.ac.in; Timestamp: Apr 27 2026 1:06 AM</t>
  </si>
  <si>
    <t xml:space="preserve">Dr. Suresh M</t>
  </si>
  <si>
    <t xml:space="preserve">INTRODUCTION TO MASS COMMUNICATION  </t>
  </si>
  <si>
    <t>2526ECD0091</t>
  </si>
  <si>
    <t>1r7sZYnYoibjfibt8KVRZCbsQav8E1HNt</t>
  </si>
  <si>
    <t>https://drive.google.com/file/d/1r7sZYnYoibjfibt8KVRZCbsQav8E1HNt/view?usp=drivesdk</t>
  </si>
  <si>
    <t xml:space="preserve">Dr. Ashish Dubey</t>
  </si>
  <si>
    <t>Advertising</t>
  </si>
  <si>
    <t>2526ECD0092</t>
  </si>
  <si>
    <t>1fmjjHceRi07qeYn170bH7ReJeFhbIAvi</t>
  </si>
  <si>
    <t>https://drive.google.com/file/d/1fmjjHceRi07qeYn170bH7ReJeFhbIAvi/view?usp=drivesdk</t>
  </si>
  <si>
    <t xml:space="preserve">Dr. Maninder Kumar Singh</t>
  </si>
  <si>
    <t xml:space="preserve">Graphic Desing  ( PPT Formate not Proper)</t>
  </si>
  <si>
    <t>2526ECD0093</t>
  </si>
  <si>
    <t>1i23VV8IEuP-aGaa0CQ24Yql1yZc8hReZ</t>
  </si>
  <si>
    <t>https://drive.google.com/file/d/1i23VV8IEuP-aGaa0CQ24Yql1yZc8hReZ/view?usp=drivesdk</t>
  </si>
  <si>
    <t xml:space="preserve">Dr Megha Taragi</t>
  </si>
  <si>
    <t xml:space="preserve">Social Psychology</t>
  </si>
  <si>
    <t>2526ECD0094</t>
  </si>
  <si>
    <t>1T-2OOAkrWCencZMfCmcmn1KNtSntRcY_</t>
  </si>
  <si>
    <t>https://drive.google.com/file/d/1T-2OOAkrWCencZMfCmcmn1KNtSntRcY_/view?usp=drivesdk</t>
  </si>
  <si>
    <t xml:space="preserve">Document successfully created; Document successfully merged; PDF created; Manually run by nirmita.patel27183@paruluniversity.ac.in; Timestamp: Apr 27 2026 1:07 AM</t>
  </si>
  <si>
    <t xml:space="preserve">Dr. Dayal Singh Satha</t>
  </si>
  <si>
    <t xml:space="preserve">Local Self Government</t>
  </si>
  <si>
    <t>2526ECD0096</t>
  </si>
  <si>
    <t>1R9u6J9TNdSRlMd3_9zv6M5Ywencp3E16</t>
  </si>
  <si>
    <t>https://drive.google.com/file/d/1R9u6J9TNdSRlMd3_9zv6M5Ywencp3E16/view?usp=drivesdk</t>
  </si>
  <si>
    <t xml:space="preserve">Dr. Priyanka</t>
  </si>
  <si>
    <t xml:space="preserve">Microeconomics I</t>
  </si>
  <si>
    <t>2526ECD0097</t>
  </si>
  <si>
    <t>1CD87JT93ubWaHDXY8nWJZZyiOsnrELwn</t>
  </si>
  <si>
    <t>https://drive.google.com/file/d/1CD87JT93ubWaHDXY8nWJZZyiOsnrELwn/view?usp=drivesdk</t>
  </si>
  <si>
    <t xml:space="preserve">Dr.  Rajinder Kaur</t>
  </si>
  <si>
    <t xml:space="preserve">Economics of Growth and Development</t>
  </si>
  <si>
    <t>2526ECD0098</t>
  </si>
  <si>
    <t>1olEkoBzHzOQye0vMbwk7fLhuRMh6M0Da</t>
  </si>
  <si>
    <t>https://drive.google.com/file/d/1olEkoBzHzOQye0vMbwk7fLhuRMh6M0Da/view?usp=drivesdk</t>
  </si>
  <si>
    <t xml:space="preserve">Document successfully created; Document successfully merged; PDF created; Manually run by nirmita.patel27183@paruluniversity.ac.in; Timestamp: Apr 27 2026 11:59 PM</t>
  </si>
  <si>
    <t xml:space="preserve">Ms. Tanya Mandloi </t>
  </si>
  <si>
    <t xml:space="preserve">Psychopathology -2</t>
  </si>
  <si>
    <t>2526ECD0100</t>
  </si>
  <si>
    <t>1AVHayipmqFsbmD-iXlGYa2Q3niHw2Zxq</t>
  </si>
  <si>
    <t>https://drive.google.com/file/d/1AVHayipmqFsbmD-iXlGYa2Q3niHw2Zxq/view?usp=drivesdk</t>
  </si>
  <si>
    <t xml:space="preserve">Document successfully created; Document successfully merged; PDF created; Manually run by nirmita.patel27183@paruluniversity.ac.in; Timestamp: Apr 27 2026 1:08 AM</t>
  </si>
  <si>
    <t xml:space="preserve">Mr. Ashish Kotadiya </t>
  </si>
  <si>
    <t xml:space="preserve">International Relations theory</t>
  </si>
  <si>
    <t>2526ECD0101</t>
  </si>
  <si>
    <t>13O8Rg-yukRkWxBHjmNMuk6v1Kc2_i3Sm</t>
  </si>
  <si>
    <t>https://drive.google.com/file/d/13O8Rg-yukRkWxBHjmNMuk6v1Kc2_i3Sm/view?usp=drivesdk</t>
  </si>
  <si>
    <t xml:space="preserve">Ms. Gargi Sharma</t>
  </si>
  <si>
    <t xml:space="preserve">Fiction - 1</t>
  </si>
  <si>
    <t>2526ECD0102</t>
  </si>
  <si>
    <t>1q0cmv6vW345h1HsGYkfqBmU74CiGmble</t>
  </si>
  <si>
    <t>https://drive.google.com/file/d/1q0cmv6vW345h1HsGYkfqBmU74CiGmble/view?usp=drivesdk</t>
  </si>
  <si>
    <t xml:space="preserve">Dr Vijayalaxmi</t>
  </si>
  <si>
    <t xml:space="preserve">Modern English Grammar Structure</t>
  </si>
  <si>
    <t>2526ECD0106</t>
  </si>
  <si>
    <t>1XyvvqNGoy0wjZ7Vu5Imz30T00CS5Z7sl</t>
  </si>
  <si>
    <t>https://drive.google.com/file/d/1XyvvqNGoy0wjZ7Vu5Imz30T00CS5Z7sl/view?usp=drivesdk</t>
  </si>
  <si>
    <t xml:space="preserve">Document successfully created; Document successfully merged; PDF created; Manually run by nirmita.patel27183@paruluniversity.ac.in; Timestamp: Apr 27 2026 1:09 AM</t>
  </si>
  <si>
    <t>PIPHS</t>
  </si>
  <si>
    <t xml:space="preserve">Mr Ravi Christian</t>
  </si>
  <si>
    <t xml:space="preserve">Radiation Protection in Diagnostic Radiology</t>
  </si>
  <si>
    <t>2526ECD0390</t>
  </si>
  <si>
    <t>1PDxGUirp2TuKaTrjms-Pgq4d7VLrRpoN</t>
  </si>
  <si>
    <t>https://drive.google.com/file/d/1PDxGUirp2TuKaTrjms-Pgq4d7VLrRpoN/view?usp=drivesdk</t>
  </si>
  <si>
    <t xml:space="preserve">Document successfully created; Document successfully merged; PDF created; Manually run by nirmita.patel27183@paruluniversity.ac.in; Timestamp: Apr 28 2026 1:58 AM</t>
  </si>
  <si>
    <t xml:space="preserve">Ms Nilofer Neshat</t>
  </si>
  <si>
    <t xml:space="preserve">Computed Tomography</t>
  </si>
  <si>
    <t>2526ECD0391</t>
  </si>
  <si>
    <t>1G9QKPmPdPcCthpPrgACkeyu4w5rwfvxz</t>
  </si>
  <si>
    <t>https://drive.google.com/file/d/1G9QKPmPdPcCthpPrgACkeyu4w5rwfvxz/view?usp=drivesdk</t>
  </si>
  <si>
    <t xml:space="preserve">Mr. Khush Jain</t>
  </si>
  <si>
    <t>Ultrasonography</t>
  </si>
  <si>
    <t>2526ECD0392</t>
  </si>
  <si>
    <t>1ZVkP0k6MJH1cCPg07_LvhU9COVhn0iEi</t>
  </si>
  <si>
    <t>https://drive.google.com/file/d/1ZVkP0k6MJH1cCPg07_LvhU9COVhn0iEi/view?usp=drivesdk</t>
  </si>
  <si>
    <t xml:space="preserve">Ms. Arpita Chakraborty</t>
  </si>
  <si>
    <t xml:space="preserve">Radiation safety and protection </t>
  </si>
  <si>
    <t>2526ECD0393</t>
  </si>
  <si>
    <t>1AaG2wdRdwL1Aqc27HH7xX2Jfw0xLS2SQ</t>
  </si>
  <si>
    <t>https://drive.google.com/file/d/1AaG2wdRdwL1Aqc27HH7xX2Jfw0xLS2SQ/view?usp=drivesdk</t>
  </si>
  <si>
    <t xml:space="preserve">Mr. Pratap Singh</t>
  </si>
  <si>
    <t xml:space="preserve">Special procedure and Dark room technique (T)</t>
  </si>
  <si>
    <t>2526ECD0394</t>
  </si>
  <si>
    <t>1DGV8yY0aZp_Hlz_WmyzPhSg9Qtx9fhGf</t>
  </si>
  <si>
    <t>https://drive.google.com/file/d/1DGV8yY0aZp_Hlz_WmyzPhSg9Qtx9fhGf/view?usp=drivesdk</t>
  </si>
  <si>
    <t xml:space="preserve">Mr. Lal Ramdinanwe</t>
  </si>
  <si>
    <t xml:space="preserve">Radiological Anatomy (T)</t>
  </si>
  <si>
    <t>2526ECD0395</t>
  </si>
  <si>
    <t>1NmILP48QHT-qnQEt8NIRR-w7QtIx8cMh</t>
  </si>
  <si>
    <t>https://drive.google.com/file/d/1NmILP48QHT-qnQEt8NIRR-w7QtIx8cMh/view?usp=drivesdk</t>
  </si>
  <si>
    <t xml:space="preserve">Document successfully created; Document successfully merged; PDF created; Manually run by nirmita.patel27183@paruluniversity.ac.in; Timestamp: Apr 28 2026 1:59 AM</t>
  </si>
  <si>
    <t xml:space="preserve">Ms. Shrawani Sonewane</t>
  </si>
  <si>
    <r>
      <rPr>
        <sz val="11"/>
        <color theme="1"/>
        <rFont val="Times New Roman"/>
      </rPr>
      <t xml:space="preserve">Quality control</t>
    </r>
    <r>
      <rPr>
        <b/>
        <sz val="12"/>
        <color indexed="2"/>
        <rFont val="Times New Roman"/>
      </rPr>
      <t xml:space="preserve"> </t>
    </r>
  </si>
  <si>
    <t>2526ECD0396</t>
  </si>
  <si>
    <t>1uQgquFkcA8JqS4fkGDjj3wlL-A31a5QO</t>
  </si>
  <si>
    <t>https://drive.google.com/file/d/1uQgquFkcA8JqS4fkGDjj3wlL-A31a5QO/view?usp=drivesdk</t>
  </si>
  <si>
    <t xml:space="preserve">Ms. Anha Ashai</t>
  </si>
  <si>
    <r>
      <rPr>
        <sz val="11"/>
        <color theme="1"/>
        <rFont val="Times New Roman"/>
      </rPr>
      <t xml:space="preserve">Principals Of Operation Theatre Management (T)</t>
    </r>
    <r>
      <rPr>
        <b/>
        <sz val="12"/>
        <color indexed="2"/>
        <rFont val="Times New Roman"/>
      </rPr>
      <t xml:space="preserve"> </t>
    </r>
  </si>
  <si>
    <t>2526ECD0397</t>
  </si>
  <si>
    <t>1Y0ma84jXz4l3wx_KrDjmvKlvRo6RFzcW</t>
  </si>
  <si>
    <t>https://drive.google.com/file/d/1Y0ma84jXz4l3wx_KrDjmvKlvRo6RFzcW/view?usp=drivesdk</t>
  </si>
  <si>
    <t xml:space="preserve">Ms. Sampreeth Naidu</t>
  </si>
  <si>
    <t xml:space="preserve">Basic Anesthetic Techniques (T)</t>
  </si>
  <si>
    <t>2526ECD0398</t>
  </si>
  <si>
    <t>18QrEyqdiYpFkvJl2A5W6_sEficnPl-1s</t>
  </si>
  <si>
    <t>https://drive.google.com/file/d/18QrEyqdiYpFkvJl2A5W6_sEficnPl-1s/view?usp=drivesdk</t>
  </si>
  <si>
    <t xml:space="preserve">Ms.Gazala Parveen</t>
  </si>
  <si>
    <t xml:space="preserve">Foundation Of Medical Laboratory Science</t>
  </si>
  <si>
    <t>2526ECD0399</t>
  </si>
  <si>
    <t>1bxqZEi6Syp9wQopr3hLaNydfbvzZvR_l</t>
  </si>
  <si>
    <t>https://drive.google.com/file/d/1bxqZEi6Syp9wQopr3hLaNydfbvzZvR_l/view?usp=drivesdk</t>
  </si>
  <si>
    <t xml:space="preserve">Mr. Vinay Pathak</t>
  </si>
  <si>
    <r>
      <rPr>
        <sz val="11"/>
        <color theme="1"/>
        <rFont val="Times New Roman"/>
      </rPr>
      <t xml:space="preserve">Metabolism and Molecular Biology (T)</t>
    </r>
    <r>
      <rPr>
        <b/>
        <sz val="12"/>
        <color indexed="2"/>
        <rFont val="Times New Roman"/>
      </rPr>
      <t xml:space="preserve"> </t>
    </r>
  </si>
  <si>
    <t>2526ECD0400</t>
  </si>
  <si>
    <t>1pcZ84ESvWR91eVOuXVmYCLHFHB17OFZf</t>
  </si>
  <si>
    <t>https://drive.google.com/file/d/1pcZ84ESvWR91eVOuXVmYCLHFHB17OFZf/view?usp=drivesdk</t>
  </si>
  <si>
    <t xml:space="preserve">Ms.Gunjan Shrivastava</t>
  </si>
  <si>
    <t xml:space="preserve">Medical Microbiology - II ( Immunology &amp; Virology) (T)</t>
  </si>
  <si>
    <t>2526ECD0401</t>
  </si>
  <si>
    <t>10xrdTQ5ZKqLI9vs1yj7X1iuQy-0rtW_Y</t>
  </si>
  <si>
    <t>https://drive.google.com/file/d/10xrdTQ5ZKqLI9vs1yj7X1iuQy-0rtW_Y/view?usp=drivesdk</t>
  </si>
  <si>
    <t xml:space="preserve">Dr.Zeba Shaikh</t>
  </si>
  <si>
    <t xml:space="preserve">ANATOMY &amp; PHYSIOLOGY - I </t>
  </si>
  <si>
    <t>2526ECD0402</t>
  </si>
  <si>
    <t>1b1IsPmaD0u5HGNOJDAyxX3QFimOMO_2B</t>
  </si>
  <si>
    <t>https://drive.google.com/file/d/1b1IsPmaD0u5HGNOJDAyxX3QFimOMO_2B/view?usp=drivesdk</t>
  </si>
  <si>
    <t xml:space="preserve">Document successfully created; Document successfully merged; PDF created; Manually run by nirmita.patel27183@paruluniversity.ac.in; Timestamp: Apr 28 2026 2:00 AM</t>
  </si>
  <si>
    <t xml:space="preserve">Dr. Poonam Patel</t>
  </si>
  <si>
    <t xml:space="preserve">Introduction to Business organization</t>
  </si>
  <si>
    <t>2526ECD0403</t>
  </si>
  <si>
    <t>1JIRTzGMT9AorQptG1EyOMihSLCNT8KV-</t>
  </si>
  <si>
    <t>https://drive.google.com/file/d/1JIRTzGMT9AorQptG1EyOMihSLCNT8KV-/view?usp=drivesdk</t>
  </si>
  <si>
    <t xml:space="preserve">Document successfully created; Document successfully merged; PDF created; Manually run by nirmita.patel27183@paruluniversity.ac.in; Timestamp: Apr 28 2026 2:13 AM</t>
  </si>
  <si>
    <t xml:space="preserve">Ms. Bhakti Vyas</t>
  </si>
  <si>
    <t xml:space="preserve">Ethics and Human Values</t>
  </si>
  <si>
    <t>2526ECD0404</t>
  </si>
  <si>
    <t>1XDMaegmSUtyPXioSG-I5UvONU_6FoBGt</t>
  </si>
  <si>
    <t>https://drive.google.com/file/d/1XDMaegmSUtyPXioSG-I5UvONU_6FoBGt/view?usp=drivesdk</t>
  </si>
  <si>
    <t xml:space="preserve">Document successfully created; Document successfully merged; PDF created; Manually run by nirmita.patel27183@paruluniversity.ac.in; Timestamp: Apr 28 2026 2:16 AM</t>
  </si>
  <si>
    <t xml:space="preserve">Ms. Pratistha Rajvanshi </t>
  </si>
  <si>
    <t xml:space="preserve">Visual Optics</t>
  </si>
  <si>
    <t>1EElqmzN71SlQJz7LrqJrMxC1Pzwgo5AW</t>
  </si>
  <si>
    <t>https://drive.google.com/file/d/1EElqmzN71SlQJz7LrqJrMxC1Pzwgo5AW/view?usp=drivesdk</t>
  </si>
  <si>
    <t xml:space="preserve">Document successfully created; Document successfully merged; PDF created; Manually run by nirmita.patel27183@paruluniversity.ac.in; Timestamp: Apr 28 2026 7:00 AM</t>
  </si>
  <si>
    <t>Mr. Rohan Kalita</t>
  </si>
  <si>
    <t xml:space="preserve">Contact Lens (T)</t>
  </si>
  <si>
    <t>2526ECD0406</t>
  </si>
  <si>
    <t>1S1qSd2xGA9aoTlten9wmsQkqd5fWaWSA</t>
  </si>
  <si>
    <t>https://drive.google.com/file/d/1S1qSd2xGA9aoTlten9wmsQkqd5fWaWSA/view?usp=drivesdk</t>
  </si>
  <si>
    <t xml:space="preserve">Ms. Pratishtha Rajvanshi </t>
  </si>
  <si>
    <t xml:space="preserve">Paper 2: Ocular Anatomy Physiology &amp; Biochemistry (T)</t>
  </si>
  <si>
    <t>2526ECD0407</t>
  </si>
  <si>
    <t>1CgVXVUfI6yhMN0CSLD8yjp0cVe0vI9s7</t>
  </si>
  <si>
    <t>https://drive.google.com/file/d/1CgVXVUfI6yhMN0CSLD8yjp0cVe0vI9s7/view?usp=drivesdk</t>
  </si>
  <si>
    <t xml:space="preserve">Ms. Saumya </t>
  </si>
  <si>
    <t xml:space="preserve">Paper 1: Ocular Diseases and Investigations (T)</t>
  </si>
  <si>
    <t>2526ECD0408</t>
  </si>
  <si>
    <t>1aksrqnfFVuNBiIhU4dgPr1snq3zyHH5Q</t>
  </si>
  <si>
    <t>https://drive.google.com/file/d/1aksrqnfFVuNBiIhU4dgPr1snq3zyHH5Q/view?usp=drivesdk</t>
  </si>
  <si>
    <t xml:space="preserve">Paper 2: Ocular Pharmacology Pathology and Community Ophthalmology (T)</t>
  </si>
  <si>
    <t>2526ECD0409</t>
  </si>
  <si>
    <t>1Fp0lFGYN0PMUATj_1E9mziAx5dqYzmpK</t>
  </si>
  <si>
    <t>https://drive.google.com/file/d/1Fp0lFGYN0PMUATj_1E9mziAx5dqYzmpK/view?usp=drivesdk</t>
  </si>
  <si>
    <t xml:space="preserve">Mr. Arpit Trivedi </t>
  </si>
  <si>
    <t xml:space="preserve">Low Vision (T) </t>
  </si>
  <si>
    <t>2526ECD0410</t>
  </si>
  <si>
    <t>1EoibY38ZlxkFWIwiN1NANbVzoNEm11fl</t>
  </si>
  <si>
    <t>https://drive.google.com/file/d/1EoibY38ZlxkFWIwiN1NANbVzoNEm11fl/view?usp=drivesdk</t>
  </si>
  <si>
    <t xml:space="preserve">Document successfully created; Document successfully merged; PDF created; Manually run by nirmita.patel27183@paruluniversity.ac.in; Timestamp: Apr 28 2026 7:01 AM</t>
  </si>
  <si>
    <t xml:space="preserve">Ms. Sushrita Mahadani </t>
  </si>
  <si>
    <t xml:space="preserve">Systemic Diseas (T)</t>
  </si>
  <si>
    <t>2526ECD0411</t>
  </si>
  <si>
    <t>1EORJNG1zLwCkP7ui7VBCUzojNfbmxqMj</t>
  </si>
  <si>
    <t>https://drive.google.com/file/d/1EORJNG1zLwCkP7ui7VBCUzojNfbmxqMj/view?usp=drivesdk</t>
  </si>
  <si>
    <t xml:space="preserve">Ms. Saumya 
</t>
  </si>
  <si>
    <t xml:space="preserve">Paper 4: Health Care and Management (T)</t>
  </si>
  <si>
    <t>2526ECD0412</t>
  </si>
  <si>
    <t>1aCOHmrqdJc7IOl4BPHc43I758V_jZJFO</t>
  </si>
  <si>
    <t>https://drive.google.com/file/d/1aCOHmrqdJc7IOl4BPHc43I758V_jZJFO/view?usp=drivesdk</t>
  </si>
  <si>
    <t xml:space="preserve">MS. JYOTI AGARWAL</t>
  </si>
  <si>
    <t xml:space="preserve">Echocardiography - (T)</t>
  </si>
  <si>
    <t>2526ECD0413</t>
  </si>
  <si>
    <t>1LjyGGpS45Ll96FS3lrngkOIgpWxOk9Nu</t>
  </si>
  <si>
    <t>https://drive.google.com/file/d/1LjyGGpS45Ll96FS3lrngkOIgpWxOk9Nu/view?usp=drivesdk</t>
  </si>
  <si>
    <t xml:space="preserve">MS. JANNIFAR KHATI</t>
  </si>
  <si>
    <t xml:space="preserve">Anatomy, Physiology &amp; Biochemistry of the Heart</t>
  </si>
  <si>
    <t>2526ECD0414</t>
  </si>
  <si>
    <t>1rJSugrsaaVkn2jLVojtByZNwnlpRmAUf</t>
  </si>
  <si>
    <t>https://drive.google.com/file/d/1rJSugrsaaVkn2jLVojtByZNwnlpRmAUf/view?usp=drivesdk</t>
  </si>
  <si>
    <t xml:space="preserve">MR.WALTER URONU</t>
  </si>
  <si>
    <t xml:space="preserve">Electrocardiogram (T)</t>
  </si>
  <si>
    <t>2526ECD0415</t>
  </si>
  <si>
    <t>1MRq0lnKJkaCW0O3Y1bwOs_wR1DVUX7fM</t>
  </si>
  <si>
    <t>https://drive.google.com/file/d/1MRq0lnKJkaCW0O3Y1bwOs_wR1DVUX7fM/view?usp=drivesdk</t>
  </si>
  <si>
    <t xml:space="preserve">MS.SAMPADA GAIKWAD</t>
  </si>
  <si>
    <t xml:space="preserve">Medicine Relevant to Cardiac Disorders -I (T)</t>
  </si>
  <si>
    <t>2526ECD0416</t>
  </si>
  <si>
    <t>1Isy2a1Ht-RPUQrvF4lyky6j_3Up1v6Fv</t>
  </si>
  <si>
    <t>https://drive.google.com/file/d/1Isy2a1Ht-RPUQrvF4lyky6j_3Up1v6Fv/view?usp=drivesdk</t>
  </si>
  <si>
    <t xml:space="preserve">Document successfully created; Document successfully merged; PDF created; Manually run by nirmita.patel27183@paruluniversity.ac.in; Timestamp: Apr 28 2026 7:02 AM</t>
  </si>
  <si>
    <t xml:space="preserve">MS.AYESHA CHAUDHARY</t>
  </si>
  <si>
    <t xml:space="preserve">SEC-1: Management of Lifestyle Disorders</t>
  </si>
  <si>
    <t>2526ECD0417</t>
  </si>
  <si>
    <t>1wN5STiSy4V7V-7IMxN-LJQmLrm-lV_Sz</t>
  </si>
  <si>
    <t>https://drive.google.com/file/d/1wN5STiSy4V7V-7IMxN-LJQmLrm-lV_Sz/view?usp=drivesdk</t>
  </si>
  <si>
    <t>MS.LEKHA</t>
  </si>
  <si>
    <t xml:space="preserve">Paper 4: Cardiac Diagnostic Methodologies(T) </t>
  </si>
  <si>
    <t>2526ECD0418</t>
  </si>
  <si>
    <t>1NwHGrDGAPiXcXXisyBKqiMA5lvkfHEN3</t>
  </si>
  <si>
    <t>https://drive.google.com/file/d/1NwHGrDGAPiXcXXisyBKqiMA5lvkfHEN3/view?usp=drivesdk</t>
  </si>
  <si>
    <t xml:space="preserve">MS. VISHAKA THAKOR</t>
  </si>
  <si>
    <t xml:space="preserve">Paper 1: Introduction to Cardiac care Technology(T)</t>
  </si>
  <si>
    <t>2526ECD0419</t>
  </si>
  <si>
    <t>1kQtKmzBWIvdEXACKQljM6nGachqKa2kx</t>
  </si>
  <si>
    <t>https://drive.google.com/file/d/1kQtKmzBWIvdEXACKQljM6nGachqKa2kx/view?usp=drivesdk</t>
  </si>
  <si>
    <t xml:space="preserve">MS.SUSMITA BHAKT</t>
  </si>
  <si>
    <t xml:space="preserve">Cardiac Catheterization (T)</t>
  </si>
  <si>
    <t>2526ECD0420</t>
  </si>
  <si>
    <t>1_9W9SiqGVxm4rgU1wmsWTzoBAW5etXoR</t>
  </si>
  <si>
    <t>https://drive.google.com/file/d/1_9W9SiqGVxm4rgU1wmsWTzoBAW5etXoR/view?usp=drivesdk</t>
  </si>
  <si>
    <t xml:space="preserve">Ms. Rajshri Patel</t>
  </si>
  <si>
    <t>Pharmacology-I</t>
  </si>
  <si>
    <t>2526ECD0421</t>
  </si>
  <si>
    <t xml:space="preserve">Dr. Dindayal Agrawal</t>
  </si>
  <si>
    <t xml:space="preserve">Community Pharmacy</t>
  </si>
  <si>
    <t>2526ECD0422</t>
  </si>
  <si>
    <t>1qGau85FHt99I5DExJJZvleo_N0ao0A7e</t>
  </si>
  <si>
    <t>https://drive.google.com/file/d/1qGau85FHt99I5DExJJZvleo_N0ao0A7e/view?usp=drivesdk</t>
  </si>
  <si>
    <t xml:space="preserve">Dr. Dindayal Agrawal-Community Pharmacy</t>
  </si>
  <si>
    <t xml:space="preserve">Document successfully created; Document successfully merged; PDF created; Manually run by nirmita.patel27183@paruluniversity.ac.in; Timestamp: Apr 29 2026 12:43 AM</t>
  </si>
  <si>
    <t xml:space="preserve">Ms. Nidhi Raichura </t>
  </si>
  <si>
    <t xml:space="preserve">Medicinal Chemistry</t>
  </si>
  <si>
    <t>2526ECD0423</t>
  </si>
  <si>
    <t>1JRbpVoQw3IqZxi36_fWpIui1E9aYhjsc</t>
  </si>
  <si>
    <t>https://drive.google.com/file/d/1JRbpVoQw3IqZxi36_fWpIui1E9aYhjsc/view?usp=drivesdk</t>
  </si>
  <si>
    <t xml:space="preserve">Ms. Nidhi Raichura -Medicinal Chemistry</t>
  </si>
  <si>
    <t>Nursing</t>
  </si>
  <si>
    <t xml:space="preserve">Ms.Steffy Abhraham</t>
  </si>
  <si>
    <t xml:space="preserve">Health/Nursing Informatics &amp; Technology</t>
  </si>
  <si>
    <t>2526ECD0426</t>
  </si>
  <si>
    <t>1Pb7khZLVVSlFdInRv7YGA2Nfr0xNryZl</t>
  </si>
  <si>
    <t>https://drive.google.com/file/d/1Pb7khZLVVSlFdInRv7YGA2Nfr0xNryZl/view?usp=drivesdk</t>
  </si>
  <si>
    <t xml:space="preserve">Ms.Steffy Abhraham-Health/Nursing Informatics &amp; Technology</t>
  </si>
  <si>
    <t xml:space="preserve">Document successfully created; Document successfully merged; PDF created; Manually run by nirmita.patel27183@paruluniversity.ac.in; Timestamp: Apr 29 2026 12:58 AM</t>
  </si>
  <si>
    <t xml:space="preserve">Ms.Dimple Vyas</t>
  </si>
  <si>
    <t xml:space="preserve">Applied Microbiology and Infection Control including Safety</t>
  </si>
  <si>
    <t>2526ECD0427</t>
  </si>
  <si>
    <t>1HzCxyEWsKCd7ramJynD248tk6tWrOVmr</t>
  </si>
  <si>
    <t>https://drive.google.com/file/d/1HzCxyEWsKCd7ramJynD248tk6tWrOVmr/view?usp=drivesdk</t>
  </si>
  <si>
    <t xml:space="preserve">Ms.Dimple Vyas-Applied Microbiology and Infection Control including Safety</t>
  </si>
  <si>
    <t xml:space="preserve">Mr. Manish Trivedi</t>
  </si>
  <si>
    <t xml:space="preserve">Pharmacology I</t>
  </si>
  <si>
    <t>2526ECD0428</t>
  </si>
  <si>
    <t>1O8XKK1qN0PbKuuQ0G0naRi_vTlFMtZIo</t>
  </si>
  <si>
    <t>https://drive.google.com/file/d/1O8XKK1qN0PbKuuQ0G0naRi_vTlFMtZIo/view?usp=drivesdk</t>
  </si>
  <si>
    <t xml:space="preserve">Mr. Manish Trivedi-Pharmacology I</t>
  </si>
  <si>
    <t xml:space="preserve">Ms.Anant Patel</t>
  </si>
  <si>
    <t xml:space="preserve">Pathology I</t>
  </si>
  <si>
    <t>2526ECD0429</t>
  </si>
  <si>
    <t>1exs5Gw56dD3ZYG4nKzlDLmwo6bx99_2P</t>
  </si>
  <si>
    <t>https://drive.google.com/file/d/1exs5Gw56dD3ZYG4nKzlDLmwo6bx99_2P/view?usp=drivesdk</t>
  </si>
  <si>
    <t xml:space="preserve">Ms.Anant Patel-Pathology I</t>
  </si>
  <si>
    <t xml:space="preserve">Mr.Swapnil Rahane</t>
  </si>
  <si>
    <t xml:space="preserve">Adult Health Nursing I with integrated pathophysiology including BCLS module</t>
  </si>
  <si>
    <t>2526ECD0430</t>
  </si>
  <si>
    <t>15ydKaggOziqJSRtRuwMCNpFb7CjmXEz2</t>
  </si>
  <si>
    <t>https://drive.google.com/file/d/15ydKaggOziqJSRtRuwMCNpFb7CjmXEz2/view?usp=drivesdk</t>
  </si>
  <si>
    <t xml:space="preserve">Mr.Swapnil Rahane-Adult Health Nursing I with integrated pathophysiology including BCLS module</t>
  </si>
  <si>
    <t xml:space="preserve">Ms.Anee Patel</t>
  </si>
  <si>
    <t xml:space="preserve">Pharmacology II including Fundamentals of prescribing module</t>
  </si>
  <si>
    <t>2526ECD0431</t>
  </si>
  <si>
    <t>1tXOqKrrpfYQkE2vnihxmXUin5zwV4ZRe</t>
  </si>
  <si>
    <t>https://drive.google.com/file/d/1tXOqKrrpfYQkE2vnihxmXUin5zwV4ZRe/view?usp=drivesdk</t>
  </si>
  <si>
    <t xml:space="preserve">Ms.Anee Patel-Pharmacology II including Fundamentals of prescribing module</t>
  </si>
  <si>
    <t xml:space="preserve">Mrs Heena Baria</t>
  </si>
  <si>
    <t xml:space="preserve">Adult Health Nursing II with integrated pathophysiology including Geriatric Nursing + Palliative care module</t>
  </si>
  <si>
    <t>2526ECD0432</t>
  </si>
  <si>
    <t>1WQ7aPqNpZxUvlsBzAc6tGSH5-oIp5EOR</t>
  </si>
  <si>
    <t>https://drive.google.com/file/d/1WQ7aPqNpZxUvlsBzAc6tGSH5-oIp5EOR/view?usp=drivesdk</t>
  </si>
  <si>
    <t xml:space="preserve">Mrs Heena Baria-Adult Health Nursing II with integrated pathophysiology including Geriatric Nursing + Palliative care module</t>
  </si>
  <si>
    <t xml:space="preserve">Document successfully created; Document successfully merged; PDF created; Manually run by nirmita.patel27183@paruluniversity.ac.in; Timestamp: Apr 29 2026 12:59 AM</t>
  </si>
  <si>
    <t xml:space="preserve">Ms.Minal Prajapati</t>
  </si>
  <si>
    <t xml:space="preserve">Professionalism, Professional Values and Ethics including bioethics</t>
  </si>
  <si>
    <t>2526ECD0433</t>
  </si>
  <si>
    <t>1hJpOqAny4QTee-bB40ZpqFL7zQIaDYkZ</t>
  </si>
  <si>
    <t>https://drive.google.com/file/d/1hJpOqAny4QTee-bB40ZpqFL7zQIaDYkZ/view?usp=drivesdk</t>
  </si>
  <si>
    <t xml:space="preserve">Ms.Minal Prajapati-Professionalism, Professional Values and Ethics including bioethics</t>
  </si>
  <si>
    <t xml:space="preserve">Ms.Hetal Parmar</t>
  </si>
  <si>
    <t xml:space="preserve">Child Health Nursing II</t>
  </si>
  <si>
    <t>2526ECD0434</t>
  </si>
  <si>
    <t>1-r0xAgxpkesUtZ-eQwFt6Pe4qBKxrj37</t>
  </si>
  <si>
    <t>https://drive.google.com/file/d/1-r0xAgxpkesUtZ-eQwFt6Pe4qBKxrj37/view?usp=drivesdk</t>
  </si>
  <si>
    <t xml:space="preserve">Ms.Hetal Parmar-Child Health Nursing II</t>
  </si>
  <si>
    <t xml:space="preserve">Ms.Minal prajapati</t>
  </si>
  <si>
    <t xml:space="preserve">Mental Health Nursing II</t>
  </si>
  <si>
    <t>2526ECD0435</t>
  </si>
  <si>
    <t>1nlV9G8pbWgWUxeI1EFWFLGToU3vfDuFG</t>
  </si>
  <si>
    <t>https://drive.google.com/file/d/1nlV9G8pbWgWUxeI1EFWFLGToU3vfDuFG/view?usp=drivesdk</t>
  </si>
  <si>
    <t xml:space="preserve">Ms.Minal prajapati-Mental Health Nursing II</t>
  </si>
  <si>
    <t xml:space="preserve">Ms.Jeba Khatun</t>
  </si>
  <si>
    <t xml:space="preserve"> Nursing Management &amp; Leadership</t>
  </si>
  <si>
    <t>2526ECD0436</t>
  </si>
  <si>
    <t>1mwvAzy2-7E4NT_ufSXNlvVipXxz2ASPp</t>
  </si>
  <si>
    <t>https://drive.google.com/file/d/1mwvAzy2-7E4NT_ufSXNlvVipXxz2ASPp/view?usp=drivesdk</t>
  </si>
  <si>
    <t xml:space="preserve">Ms.Jeba Khatun- Nursing Management &amp; Leadership</t>
  </si>
  <si>
    <t xml:space="preserve">Dr. Abhay Pattan</t>
  </si>
  <si>
    <t xml:space="preserve"> Community Health Nursing II</t>
  </si>
  <si>
    <t>2526ECD0437</t>
  </si>
  <si>
    <t>1DiOKhr2vIEcGfoCJ4Q51M5LXZWH4nBc3</t>
  </si>
  <si>
    <t>https://drive.google.com/file/d/1DiOKhr2vIEcGfoCJ4Q51M5LXZWH4nBc3/view?usp=drivesdk</t>
  </si>
  <si>
    <t xml:space="preserve">Dr. Abhay Pattan- Community Health Nursing II</t>
  </si>
  <si>
    <t xml:space="preserve">Mrs. Takhellambam Kiranmala Chanu</t>
  </si>
  <si>
    <t xml:space="preserve">Nursing Research &amp; Statistics</t>
  </si>
  <si>
    <t>2526ECD0438</t>
  </si>
  <si>
    <t>1Lxo_b2tvn3ODdm1WKXcXwwO8sl0sKIHR</t>
  </si>
  <si>
    <t>https://drive.google.com/file/d/1Lxo_b2tvn3ODdm1WKXcXwwO8sl0sKIHR/view?usp=drivesdk</t>
  </si>
  <si>
    <t xml:space="preserve">Mrs. Takhellambam Kiranmala Chanu-Nursing Research &amp; Statistics</t>
  </si>
  <si>
    <t xml:space="preserve">Mrs Sandhya Rajbhar</t>
  </si>
  <si>
    <t xml:space="preserve"> Nursing Research &amp; Statistics</t>
  </si>
  <si>
    <t>2526ECD0439</t>
  </si>
  <si>
    <t>1ccxFZ798eMwJl2qvAOKMxsQckubWuY7W</t>
  </si>
  <si>
    <t>https://drive.google.com/file/d/1ccxFZ798eMwJl2qvAOKMxsQckubWuY7W/view?usp=drivesdk</t>
  </si>
  <si>
    <t xml:space="preserve">Mrs Sandhya Rajbhar- Nursing Research &amp; Statistics</t>
  </si>
  <si>
    <t xml:space="preserve">Document successfully created; Document successfully merged; PDF created; Manually run by nirmita.patel27183@paruluniversity.ac.in; Timestamp: Apr 29 2026 1:33 AM</t>
  </si>
  <si>
    <t>Design</t>
  </si>
  <si>
    <t xml:space="preserve">Ms. Darshana Prajapati</t>
  </si>
  <si>
    <t xml:space="preserve">Interior Material &amp; Construction Technology III</t>
  </si>
  <si>
    <t>2526ECD0440</t>
  </si>
  <si>
    <t>1FBDHAY4MZ-cAFLVZVoURF8KniaydZZ7O</t>
  </si>
  <si>
    <t>https://drive.google.com/file/d/1FBDHAY4MZ-cAFLVZVoURF8KniaydZZ7O/view?usp=drivesdk</t>
  </si>
  <si>
    <t xml:space="preserve">Ms. Darshana Prajapati-Interior Material &amp; Construction Technology III</t>
  </si>
  <si>
    <t xml:space="preserve">Document successfully created; Document successfully merged; PDF created; Manually run by nirmita.patel27183@paruluniversity.ac.in; Timestamp: Apr 29 2026 2:38 AM</t>
  </si>
  <si>
    <t xml:space="preserve">Ms. Sanika Sahastrabuddhe</t>
  </si>
  <si>
    <t xml:space="preserve">Design Drawing Basics - I</t>
  </si>
  <si>
    <t>2526ECD0441</t>
  </si>
  <si>
    <t>1Q_zTDRVFzmetgOzF8Vy1RKsvqUOYwvGz</t>
  </si>
  <si>
    <t>https://drive.google.com/file/d/1Q_zTDRVFzmetgOzF8Vy1RKsvqUOYwvGz/view?usp=drivesdk</t>
  </si>
  <si>
    <t xml:space="preserve">Ms. Sanika Sahastrabuddhe-Design Drawing Basics - I</t>
  </si>
  <si>
    <t xml:space="preserve">Mr. Siddharth Chavada</t>
  </si>
  <si>
    <t xml:space="preserve">DESIGN PROJECT - GRAPHIC DESIGN I</t>
  </si>
  <si>
    <t>2526ECD0442</t>
  </si>
  <si>
    <t>1nE_faW8M4LaIZOtZQn4d4GhxazTVwFFU</t>
  </si>
  <si>
    <t>https://drive.google.com/file/d/1nE_faW8M4LaIZOtZQn4d4GhxazTVwFFU/view?usp=drivesdk</t>
  </si>
  <si>
    <t xml:space="preserve">Mr. Siddharth Chavada-DESIGN PROJECT - GRAPHIC DESIGN I</t>
  </si>
  <si>
    <t xml:space="preserve">Dr. Mohd Aamir</t>
  </si>
  <si>
    <t xml:space="preserve">Diseases of Crops and their Management</t>
  </si>
  <si>
    <t>2526ECD0443</t>
  </si>
  <si>
    <t>1bVp49vdNo6-XUUxBaNUND5-jwmB_evWY</t>
  </si>
  <si>
    <t>https://drive.google.com/file/d/1bVp49vdNo6-XUUxBaNUND5-jwmB_evWY/view?usp=drivesdk</t>
  </si>
  <si>
    <t xml:space="preserve">Dr. Mohd Aamir-Diseases of Crops and their Management</t>
  </si>
  <si>
    <t xml:space="preserve">Document successfully created; Document successfully merged; PDF created; Manually run by nirmita.patel27183@paruluniversity.ac.in; Timestamp: Apr 29 2026 3:35 AM</t>
  </si>
  <si>
    <t>PIAR</t>
  </si>
  <si>
    <t xml:space="preserve">Mr. Tejas Vyas</t>
  </si>
  <si>
    <t xml:space="preserve">Sanksrit and Ayurved Itihas Paper 1</t>
  </si>
  <si>
    <t>2526ECD0444</t>
  </si>
  <si>
    <t>1bNtLrRJ8FozYMAhLAzTWrrqkBkIXx3c-</t>
  </si>
  <si>
    <t>https://drive.google.com/file/d/1bNtLrRJ8FozYMAhLAzTWrrqkBkIXx3c-/view?usp=drivesdk</t>
  </si>
  <si>
    <t xml:space="preserve">Mr. Tejas Vyas-Sanksrit and Ayurved Itihas Paper 1</t>
  </si>
  <si>
    <t xml:space="preserve">Document successfully created; Document successfully merged; PDF created; Manually run by nirmita.patel27183@paruluniversity.ac.in; Timestamp: Apr 29 2026 4:07 AM</t>
  </si>
  <si>
    <t xml:space="preserve">Dr. Adithyan MD </t>
  </si>
  <si>
    <t xml:space="preserve">Samhita Adhyayan 1</t>
  </si>
  <si>
    <t>2526ECD0445</t>
  </si>
  <si>
    <t>1B7a6-u6aQPgKA5zkfkjt8Rl5uoKh7tVD</t>
  </si>
  <si>
    <t>https://drive.google.com/file/d/1B7a6-u6aQPgKA5zkfkjt8Rl5uoKh7tVD/view?usp=drivesdk</t>
  </si>
  <si>
    <t xml:space="preserve">Dr. Adithyan MD -Samhita Adhyayan 1</t>
  </si>
  <si>
    <t xml:space="preserve">Dr. Priti Mane</t>
  </si>
  <si>
    <t xml:space="preserve">Padartha Vigynan 2</t>
  </si>
  <si>
    <t>2526ECD0446</t>
  </si>
  <si>
    <t>199wJVhAZuirj5p2wEBdtP1Et7xn7Zqg1</t>
  </si>
  <si>
    <t>https://drive.google.com/file/d/199wJVhAZuirj5p2wEBdtP1Et7xn7Zqg1/view?usp=drivesdk</t>
  </si>
  <si>
    <t xml:space="preserve">Dr. Priti Mane-Padartha Vigynan 2</t>
  </si>
  <si>
    <t xml:space="preserve">Dr. Anagha Mathad</t>
  </si>
  <si>
    <t xml:space="preserve">Samhita Adhyayan 2</t>
  </si>
  <si>
    <t>2526ECD0447</t>
  </si>
  <si>
    <t>1S2h7dPnr0_2tr8Pxcu4Ov1-akgWVmzxn</t>
  </si>
  <si>
    <t>https://drive.google.com/file/d/1S2h7dPnr0_2tr8Pxcu4Ov1-akgWVmzxn/view?usp=drivesdk</t>
  </si>
  <si>
    <t xml:space="preserve">Dr. Anagha Mathad-Samhita Adhyayan 2</t>
  </si>
  <si>
    <t xml:space="preserve">Dr. Yogita</t>
  </si>
  <si>
    <t xml:space="preserve">Samhita Adhyayan 3 B</t>
  </si>
  <si>
    <t>2526ECD0448</t>
  </si>
  <si>
    <t>1ymj60zENmZTc_-U2ygHmopCNovTOdnwC</t>
  </si>
  <si>
    <t>https://drive.google.com/file/d/1ymj60zENmZTc_-U2ygHmopCNovTOdnwC/view?usp=drivesdk</t>
  </si>
  <si>
    <t xml:space="preserve">Dr. Yogita-Samhita Adhyayan 3 B</t>
  </si>
  <si>
    <t xml:space="preserve">Document successfully created; Document successfully merged; PDF created; Manually run by nirmita.patel27183@paruluniversity.ac.in; Timestamp: Apr 29 2026 4:08 AM</t>
  </si>
  <si>
    <t xml:space="preserve">PIA Ayurveda</t>
  </si>
  <si>
    <t xml:space="preserve">Dr. Hemang Joshi</t>
  </si>
  <si>
    <t xml:space="preserve">Sanksrit and Ayurved Itihas Paper 2</t>
  </si>
  <si>
    <t>2526ECD0484</t>
  </si>
  <si>
    <t>1ItfCzrUK5oTBHmkovkknMY5cDukGVf80</t>
  </si>
  <si>
    <t>https://drive.google.com/file/d/1ItfCzrUK5oTBHmkovkknMY5cDukGVf80/view?usp=drivesdk</t>
  </si>
  <si>
    <t xml:space="preserve">Dr. Hemang Joshi-Sanksrit and Ayurved Itihas Paper 2</t>
  </si>
  <si>
    <t xml:space="preserve">Document successfully created; Document successfully merged; PDF created; Manually run by nirmita.patel27183@paruluniversity.ac.in; Timestamp: Apr 30 2026 1:00 AM</t>
  </si>
  <si>
    <t xml:space="preserve">Dr Greeshma</t>
  </si>
  <si>
    <t xml:space="preserve">Padartha Vigynan 1</t>
  </si>
  <si>
    <t>2526ECD0485</t>
  </si>
  <si>
    <t>1a60rQQ9HrMFGParIFjfritrTH3pkqbx1</t>
  </si>
  <si>
    <t>https://drive.google.com/file/d/1a60rQQ9HrMFGParIFjfritrTH3pkqbx1/view?usp=drivesdk</t>
  </si>
  <si>
    <t xml:space="preserve">Dr Greeshma-Padartha Vigynan 1</t>
  </si>
  <si>
    <t xml:space="preserve">Ar. Monika Bhatnagar</t>
  </si>
  <si>
    <t xml:space="preserve">Built Environment and Climate Change-IV</t>
  </si>
  <si>
    <t>2526ECD0495</t>
  </si>
  <si>
    <t>1uVIjjXsUIVLkcihXsPpwo3U_krzWqFLg</t>
  </si>
  <si>
    <t>https://drive.google.com/file/d/1uVIjjXsUIVLkcihXsPpwo3U_krzWqFLg/view?usp=drivesdk</t>
  </si>
  <si>
    <t xml:space="preserve">Ar. Monika Bhatnagar-Built Environment and Climate Change-IV</t>
  </si>
  <si>
    <t xml:space="preserve">Document successfully created; Document successfully merged; PDF created; Manually run by nirmita.patel27183@paruluniversity.ac.in; Timestamp: Apr 30 2026 2:17 AM</t>
  </si>
  <si>
    <t xml:space="preserve">Elements of Architetcure-II</t>
  </si>
  <si>
    <t>2526ECD0496</t>
  </si>
  <si>
    <t>1utOhtuIVu-7_CIGdz6tVLsBdh3R0fQyH</t>
  </si>
  <si>
    <t>https://drive.google.com/file/d/1utOhtuIVu-7_CIGdz6tVLsBdh3R0fQyH/view?usp=drivesdk</t>
  </si>
  <si>
    <t xml:space="preserve">Ar. Monika Bhatnagar-Elements of Architetcure-II</t>
  </si>
  <si>
    <t xml:space="preserve">Ar. Pooja Upreti</t>
  </si>
  <si>
    <t xml:space="preserve">Environment Performance Simulation &amp; Analysis</t>
  </si>
  <si>
    <t>2526ECD0497</t>
  </si>
  <si>
    <t>1gwvtSj2vUyOCD-2mnp6lVV0D_yPLUQfk</t>
  </si>
  <si>
    <t>https://drive.google.com/file/d/1gwvtSj2vUyOCD-2mnp6lVV0D_yPLUQfk/view?usp=drivesdk</t>
  </si>
  <si>
    <t xml:space="preserve">Ar. Pooja Upreti-Environment Performance Simulation &amp; Analysis</t>
  </si>
  <si>
    <t xml:space="preserve">HVAC Optimization</t>
  </si>
  <si>
    <t>2526ECD0498</t>
  </si>
  <si>
    <t>1zb3c3sEAXOLDmX_DUMD7h0CKAUg1mMVG</t>
  </si>
  <si>
    <t>https://drive.google.com/file/d/1zb3c3sEAXOLDmX_DUMD7h0CKAUg1mMVG/view?usp=drivesdk</t>
  </si>
  <si>
    <t xml:space="preserve">Ar. Pooja Upreti-HVAC Optimization</t>
  </si>
  <si>
    <t xml:space="preserve">Ar. Prakhar Vidyarthi</t>
  </si>
  <si>
    <t xml:space="preserve">Graphic Communication &amp; Signage</t>
  </si>
  <si>
    <t>2526ECD0499</t>
  </si>
  <si>
    <t>1tCUdNp24FvAt7WJUmZikYW9RHD5qH14_</t>
  </si>
  <si>
    <t>https://drive.google.com/file/d/1tCUdNp24FvAt7WJUmZikYW9RHD5qH14_/view?usp=drivesdk</t>
  </si>
  <si>
    <t xml:space="preserve">Ar. Prakhar Vidyarthi-Graphic Communication &amp; Signage</t>
  </si>
  <si>
    <t xml:space="preserve">Document successfully created; Document successfully merged; PDF created; Manually run by nirmita.patel27183@paruluniversity.ac.in; Timestamp: Apr 30 2026 2:18 AM</t>
  </si>
  <si>
    <t xml:space="preserve">Urban Heritage Conservation &amp; Management</t>
  </si>
  <si>
    <t>2526ECD0500</t>
  </si>
  <si>
    <t>104ZDH9fyYw66sAQPoWK5X727Sh6A6K27</t>
  </si>
  <si>
    <t>https://drive.google.com/file/d/104ZDH9fyYw66sAQPoWK5X727Sh6A6K27/view?usp=drivesdk</t>
  </si>
  <si>
    <t xml:space="preserve">Ar. Prakhar Vidyarthi-Urban Heritage Conservation &amp; Management</t>
  </si>
  <si>
    <t xml:space="preserve">Interior Design &amp; Conservation</t>
  </si>
  <si>
    <t>2526ECD0501</t>
  </si>
  <si>
    <t>1Akzw959WcyR6QsEK3mJUrZeSh97N6lqe</t>
  </si>
  <si>
    <t>https://drive.google.com/file/d/1Akzw959WcyR6QsEK3mJUrZeSh97N6lqe/view?usp=drivesdk</t>
  </si>
  <si>
    <t xml:space="preserve">Ar. Prakhar Vidyarthi-Interior Design &amp; Conservation</t>
  </si>
  <si>
    <t xml:space="preserve">Ar. Sheetal Umesh Kalbandhe</t>
  </si>
  <si>
    <t xml:space="preserve">BUILDING REGULATIONS</t>
  </si>
  <si>
    <t>2526ECD0502</t>
  </si>
  <si>
    <t>1h1CcEBo8iapoPrg-UQKj593WCpgtHDqp</t>
  </si>
  <si>
    <t>https://drive.google.com/file/d/1h1CcEBo8iapoPrg-UQKj593WCpgtHDqp/view?usp=drivesdk</t>
  </si>
  <si>
    <t xml:space="preserve">Ar. Sheetal Umesh Kalbandhe-BUILDING REGULATIONS</t>
  </si>
  <si>
    <t xml:space="preserve">Estimation and costing</t>
  </si>
  <si>
    <t>2526ECD0503</t>
  </si>
  <si>
    <t>1XYz8uvQfXr3e2K5B095gi8UNmjVTCld0</t>
  </si>
  <si>
    <t>https://drive.google.com/file/d/1XYz8uvQfXr3e2K5B095gi8UNmjVTCld0/view?usp=drivesdk</t>
  </si>
  <si>
    <t xml:space="preserve">Ar. Sheetal Umesh Kalbandhe-Estimation and costing</t>
  </si>
  <si>
    <t xml:space="preserve">Ar. Shefali Gandhi</t>
  </si>
  <si>
    <t xml:space="preserve">Professional Practice in Design</t>
  </si>
  <si>
    <t>2526ECD0504</t>
  </si>
  <si>
    <t>1i3ZKV-U3b1OuCj93kA5vSMG_mUTWEDC3</t>
  </si>
  <si>
    <t>https://drive.google.com/file/d/1i3ZKV-U3b1OuCj93kA5vSMG_mUTWEDC3/view?usp=drivesdk</t>
  </si>
  <si>
    <t xml:space="preserve">Ar. Shefali Gandhi-Professional Practice in Design</t>
  </si>
  <si>
    <t xml:space="preserve">Document successfully created; Document successfully merged; PDF created; Manually run by nirmita.patel27183@paruluniversity.ac.in; Timestamp: Apr 30 2026 2:19 AM</t>
  </si>
  <si>
    <t xml:space="preserve">Ar. Kapil Dev Khandelwal</t>
  </si>
  <si>
    <t xml:space="preserve">Emerging Materials in Interior Design</t>
  </si>
  <si>
    <t>2526ECD0505</t>
  </si>
  <si>
    <t>1ott_ZOqnxyV-8rkdjTKQhn2fGH6bgE63</t>
  </si>
  <si>
    <t>https://drive.google.com/file/d/1ott_ZOqnxyV-8rkdjTKQhn2fGH6bgE63/view?usp=drivesdk</t>
  </si>
  <si>
    <t xml:space="preserve">Ar. Kapil Dev Khandelwal-Emerging Materials in Interior Design</t>
  </si>
  <si>
    <t xml:space="preserve">Document successfully created; Document successfully merged; PDF created; Manually run by nirmita.patel27183@paruluniversity.ac.in; Timestamp: May 2 2026 6:06 AM</t>
  </si>
  <si>
    <t xml:space="preserve">Environmental Science - II</t>
  </si>
  <si>
    <t>2526ECD0506</t>
  </si>
  <si>
    <t>1xiXhrubmEwEGugkqPPzERQ3PETlQjs5E</t>
  </si>
  <si>
    <t>https://drive.google.com/file/d/1xiXhrubmEwEGugkqPPzERQ3PETlQjs5E/view?usp=drivesdk</t>
  </si>
  <si>
    <t xml:space="preserve">Ar. Kapil Dev Khandelwal-Environmental Science - II</t>
  </si>
  <si>
    <t xml:space="preserve">Ar. Krishna Bhavesh Rajeshirke</t>
  </si>
  <si>
    <t xml:space="preserve">Elective Inclusive Urban Planning</t>
  </si>
  <si>
    <t>2526ECD0507</t>
  </si>
  <si>
    <t>1tOQvj9MTe26sJmw-n-S1Cd_zUjC0FOYi</t>
  </si>
  <si>
    <t>https://drive.google.com/file/d/1tOQvj9MTe26sJmw-n-S1Cd_zUjC0FOYi/view?usp=drivesdk</t>
  </si>
  <si>
    <t xml:space="preserve">Ar. Krishna Bhavesh Rajeshirke-Elective Inclusive Urban Planning</t>
  </si>
  <si>
    <t xml:space="preserve">Legal Issues and Professional Practice</t>
  </si>
  <si>
    <t>2526ECD0508</t>
  </si>
  <si>
    <t>1ODoUxM1FYQId4HpN310razikVEDTrX_X</t>
  </si>
  <si>
    <t>https://drive.google.com/file/d/1ODoUxM1FYQId4HpN310razikVEDTrX_X/view?usp=drivesdk</t>
  </si>
  <si>
    <t xml:space="preserve">Ar. Krishna Bhavesh Rajeshirke-Legal Issues and Professional Practice</t>
  </si>
  <si>
    <t xml:space="preserve">Ar. Naina Kapadiya</t>
  </si>
  <si>
    <t xml:space="preserve">Architectural Drawings - II</t>
  </si>
  <si>
    <t>2526ECD0509</t>
  </si>
  <si>
    <t>1SiA81GmHA4jFhpNdwgS597FywGRV1OQl</t>
  </si>
  <si>
    <t>https://drive.google.com/file/d/1SiA81GmHA4jFhpNdwgS597FywGRV1OQl/view?usp=drivesdk</t>
  </si>
  <si>
    <t xml:space="preserve">Ar. Naina Kapadiya-Architectural Drawings - II</t>
  </si>
  <si>
    <t xml:space="preserve">Architectural Drawings - IV</t>
  </si>
  <si>
    <t>2526ECD0510</t>
  </si>
  <si>
    <t>1_DFXbNnym62cr4k-jAy_kksM5r_smoUF</t>
  </si>
  <si>
    <t>https://drive.google.com/file/d/1_DFXbNnym62cr4k-jAy_kksM5r_smoUF/view?usp=drivesdk</t>
  </si>
  <si>
    <t xml:space="preserve">Ar. Naina Kapadiya-Architectural Drawings - IV</t>
  </si>
  <si>
    <t xml:space="preserve">Ar. Sanjay D. Pitroda</t>
  </si>
  <si>
    <t xml:space="preserve">Building Materials and Construction</t>
  </si>
  <si>
    <t>2526ECD0511</t>
  </si>
  <si>
    <t>1m56F-GPeO5Pk9qHDhq59qtDhwNE_lhea</t>
  </si>
  <si>
    <t>https://drive.google.com/file/d/1m56F-GPeO5Pk9qHDhq59qtDhwNE_lhea/view?usp=drivesdk</t>
  </si>
  <si>
    <t xml:space="preserve">Ar. Sanjay D. Pitroda-Building Materials and Construction</t>
  </si>
  <si>
    <t xml:space="preserve">Dr. Gautam Patil</t>
  </si>
  <si>
    <t xml:space="preserve">Introduction to Areas of Social Work Practice</t>
  </si>
  <si>
    <t>2526ECD0512</t>
  </si>
  <si>
    <t>1lQQWy6e1TI2uinJkCDMxLJshDXNB43P6</t>
  </si>
  <si>
    <t>https://drive.google.com/file/d/1lQQWy6e1TI2uinJkCDMxLJshDXNB43P6/view?usp=drivesdk</t>
  </si>
  <si>
    <t xml:space="preserve">Dr. Gautam Patil-Introduction to Areas of Social Work Practice</t>
  </si>
  <si>
    <t xml:space="preserve">Document successfully created; Document successfully merged; PDF created; Manually run by kinnari.mishra12751@paruluniversity.ac.in; Timestamp: May 5 2026 4:24 AM</t>
  </si>
  <si>
    <t xml:space="preserve">Dr. Prem Pal Singh</t>
  </si>
  <si>
    <t xml:space="preserve">Digital Communication</t>
  </si>
  <si>
    <t>2526ECD0513</t>
  </si>
  <si>
    <t>1E4fmVDYR-_a0mzJsPS-4HS8Do9R7Hqo7</t>
  </si>
  <si>
    <t>https://drive.google.com/file/d/1E4fmVDYR-_a0mzJsPS-4HS8Do9R7Hqo7/view?usp=drivesdk</t>
  </si>
  <si>
    <t xml:space="preserve">Dr. Prem Pal Singh-Digital Communication</t>
  </si>
  <si>
    <t xml:space="preserve">Document successfully created; Document successfully merged; PDF created; Manually run by kinnari.mishra12751@paruluniversity.ac.in; Timestamp: May 6 2026 12:45 AM</t>
  </si>
  <si>
    <t xml:space="preserve">Dr. Swati A Sharma</t>
  </si>
  <si>
    <t xml:space="preserve">Digital Electronics</t>
  </si>
  <si>
    <t>2526ECD0514</t>
  </si>
  <si>
    <t>18dphAqMu_vjeKH62j2rIJi27VoVITkcb</t>
  </si>
  <si>
    <t>https://drive.google.com/file/d/18dphAqMu_vjeKH62j2rIJi27VoVITkcb/view?usp=drivesdk</t>
  </si>
  <si>
    <t xml:space="preserve">Dr. Swati A Sharma-Digital Electronics</t>
  </si>
  <si>
    <t xml:space="preserve">Mr. Satish Makadiya</t>
  </si>
  <si>
    <t xml:space="preserve">Social Legislation</t>
  </si>
  <si>
    <t>2526ECD0515</t>
  </si>
  <si>
    <t>1oa47-JZHYM_yh51ahhexU4TG9k-uzMA_</t>
  </si>
  <si>
    <t>https://drive.google.com/file/d/1oa47-JZHYM_yh51ahhexU4TG9k-uzMA_/view?usp=drivesdk</t>
  </si>
  <si>
    <t xml:space="preserve">Mr. Satish Makadiya-Social Legislation</t>
  </si>
  <si>
    <t xml:space="preserve">Document successfully created; Document successfully merged; PDF created; Manually run by kinnari.mishra12751@paruluniversity.ac.in; Timestamp: May 6 2026 4:30 AM</t>
  </si>
  <si>
    <t xml:space="preserve">Dr. Dipak Makwana</t>
  </si>
  <si>
    <t xml:space="preserve"> Life Skills Education</t>
  </si>
  <si>
    <t>2526ECD0516</t>
  </si>
  <si>
    <t>17ppfeT9X6WaokByxYGiknL3ae8ROT4wf</t>
  </si>
  <si>
    <t>https://drive.google.com/file/d/17ppfeT9X6WaokByxYGiknL3ae8ROT4wf/view?usp=drivesdk</t>
  </si>
  <si>
    <t xml:space="preserve">Dr. Dipak Makwana- Life Skills Education</t>
  </si>
  <si>
    <t xml:space="preserve">Document successfully created; Document successfully merged; PDF created; Manually run by kinnari.mishra12751@paruluniversity.ac.in; Timestamp: May 6 2026 5:01 AM</t>
  </si>
  <si>
    <t xml:space="preserve">Dr.Mukesh Laichattiwar</t>
  </si>
  <si>
    <t xml:space="preserve">Pest management in Crops and Stored Grains</t>
  </si>
  <si>
    <t>2526ECD0517</t>
  </si>
  <si>
    <t>1lwmryE7UbEPWtUBEcOS0t-3zH2ZQj7Sh</t>
  </si>
  <si>
    <t>https://drive.google.com/file/d/1lwmryE7UbEPWtUBEcOS0t-3zH2ZQj7Sh/view?usp=drivesdk</t>
  </si>
  <si>
    <t xml:space="preserve">Dr.Mukesh Laichattiwar-Pest management in Crops and Stored Grains</t>
  </si>
  <si>
    <t xml:space="preserve">Document successfully created; Document successfully merged; PDF created; Manually run by kinnari.mishra12751@paruluniversity.ac.in; Timestamp: May 8 2026 12:21 AM</t>
  </si>
  <si>
    <t xml:space="preserve">Ar. Aparna Bhattacharyya</t>
  </si>
  <si>
    <t xml:space="preserve">Architecture and Environment - II</t>
  </si>
  <si>
    <t>2526ECD0518</t>
  </si>
  <si>
    <t>1OQhjcYgnFPkYBckHu83-VYf8XqdSnkoM</t>
  </si>
  <si>
    <t>https://drive.google.com/file/d/1OQhjcYgnFPkYBckHu83-VYf8XqdSnkoM/view?usp=drivesdk</t>
  </si>
  <si>
    <t xml:space="preserve">Ar. Aparna Bhattacharyya-Architecture and Environment - II</t>
  </si>
  <si>
    <t xml:space="preserve">Document successfully created; Document successfully merged; PDF created; Manually run by nirmita.patel27183@paruluniversity.ac.in; Timestamp: May 8 2026 1:27 AM</t>
  </si>
  <si>
    <t xml:space="preserve">Evolution of Architecture-IV</t>
  </si>
  <si>
    <t>2526ECD0519</t>
  </si>
  <si>
    <t>1T47_dCf8SixyCqPSnrLbNHrFHPH0EBYQ</t>
  </si>
  <si>
    <t>https://drive.google.com/file/d/1T47_dCf8SixyCqPSnrLbNHrFHPH0EBYQ/view?usp=drivesdk</t>
  </si>
  <si>
    <t xml:space="preserve">Ar. Aparna Bhattacharyya-Evolution of Architecture-IV</t>
  </si>
  <si>
    <t xml:space="preserve">Ar. Jubin Kashyap</t>
  </si>
  <si>
    <t>2526ECD0520</t>
  </si>
  <si>
    <t>1M_e9j-WCYCGhjxBHkulGR-5z4Bec083m</t>
  </si>
  <si>
    <t>https://drive.google.com/file/d/1M_e9j-WCYCGhjxBHkulGR-5z4Bec083m/view?usp=drivesdk</t>
  </si>
  <si>
    <t xml:space="preserve">Ar. Jubin Kashyap-Professional Practice in Design</t>
  </si>
  <si>
    <t xml:space="preserve">Professional Practice</t>
  </si>
  <si>
    <t>2526ECD0521</t>
  </si>
  <si>
    <t>1lUzxYxe-9lKupjVJV6tjGIRUQLoqwYWe</t>
  </si>
  <si>
    <t>https://drive.google.com/file/d/1lUzxYxe-9lKupjVJV6tjGIRUQLoqwYWe/view?usp=drivesdk</t>
  </si>
  <si>
    <t xml:space="preserve">Ar. Jubin Kashyap-Professional Practice</t>
  </si>
  <si>
    <t xml:space="preserve">Name to be Printed on Certificate 1</t>
  </si>
  <si>
    <t xml:space="preserve">Name to be Printed on Certificate 2</t>
  </si>
  <si>
    <t xml:space="preserve">Merged Doc ID - 2 Econtent  Certificate</t>
  </si>
  <si>
    <t xml:space="preserve">Merged Doc URL - 2 Econtent  Certificate</t>
  </si>
  <si>
    <t xml:space="preserve">Link to merged Doc - 2 Econtent  Certificate</t>
  </si>
  <si>
    <t xml:space="preserve">Document Merge Status - 2 Econtent  Certificate</t>
  </si>
  <si>
    <t xml:space="preserve">Dr. Praveena</t>
  </si>
  <si>
    <t xml:space="preserve"> Dr.Yash</t>
  </si>
  <si>
    <t xml:space="preserve">Production Technology of Vegetables and Spices</t>
  </si>
  <si>
    <t>2526ECD0012</t>
  </si>
  <si>
    <t>1vPn9EphH9Ez-CtG5AV743ZI571oddjoS</t>
  </si>
  <si>
    <t>https://drive.google.com/file/d/1vPn9EphH9Ez-CtG5AV743ZI571oddjoS/view?usp=drivesdk</t>
  </si>
  <si>
    <t xml:space="preserve">Document successfully created; Document successfully merged; PDF created; Manually run by nirmita.patel27183@paruluniversity.ac.in; Timestamp: Apr 24 2026 12:28 AM</t>
  </si>
  <si>
    <t xml:space="preserve">Ms. Sanskruti Pathak</t>
  </si>
  <si>
    <t xml:space="preserve">Dr. Vijendranath Pathak</t>
  </si>
  <si>
    <t xml:space="preserve">School and Educational Psychology</t>
  </si>
  <si>
    <t>2526ECD0105</t>
  </si>
  <si>
    <t>1RK4IQtEFiw81JG91LxPSTWPMud5keKs4</t>
  </si>
  <si>
    <t>https://drive.google.com/file/d/1RK4IQtEFiw81JG91LxPSTWPMud5keKs4/view?usp=drivesdk</t>
  </si>
  <si>
    <t xml:space="preserve">Document successfully created; Document successfully merged; PDF created; Manually run by nirmita.patel27183@paruluniversity.ac.in; Timestamp: Apr 24 2026 2:08 AM</t>
  </si>
  <si>
    <t>BCA</t>
  </si>
  <si>
    <t xml:space="preserve">Ms. Prachi Mehta</t>
  </si>
  <si>
    <t xml:space="preserve">Mr. Nirmit Shah</t>
  </si>
  <si>
    <t xml:space="preserve">AI &amp; ML na</t>
  </si>
  <si>
    <t>2526ECD0142</t>
  </si>
  <si>
    <t>1vZeqDw02dpKrjC_ukelcdjyR-CfxCcLs</t>
  </si>
  <si>
    <t>https://drive.google.com/file/d/1vZeqDw02dpKrjC_ukelcdjyR-CfxCcLs/view?usp=drivesdk</t>
  </si>
  <si>
    <t xml:space="preserve">Document successfully created; Document successfully merged; PDF created; Manually run by nirmita.patel27183@paruluniversity.ac.in; Timestamp: Apr 24 2026 3:16 AM</t>
  </si>
  <si>
    <t xml:space="preserve">Mr. Aniket Paul</t>
  </si>
  <si>
    <t xml:space="preserve">Ms. Sweta Jethva</t>
  </si>
  <si>
    <t>CSF</t>
  </si>
  <si>
    <t>2526ECD0143</t>
  </si>
  <si>
    <t>1BMtSJPBpgnqSwN1lKXQWOEEyilpxkwOd</t>
  </si>
  <si>
    <t>https://drive.google.com/file/d/1BMtSJPBpgnqSwN1lKXQWOEEyilpxkwOd/view?usp=drivesdk</t>
  </si>
  <si>
    <t xml:space="preserve">Dr. Mukesh Chaudhary</t>
  </si>
  <si>
    <t xml:space="preserve">Ms. Vishakha Bhatwar</t>
  </si>
  <si>
    <t xml:space="preserve">Core 1 - Fundamentals of Programming using C</t>
  </si>
  <si>
    <t>2526ECD0144</t>
  </si>
  <si>
    <t>1JxGn3BvuG_0TnBZHjskrIvcAoHRbdLcn</t>
  </si>
  <si>
    <t>https://drive.google.com/file/d/1JxGn3BvuG_0TnBZHjskrIvcAoHRbdLcn/view?usp=drivesdk</t>
  </si>
  <si>
    <t xml:space="preserve">Mr.Tanmay Shah</t>
  </si>
  <si>
    <t xml:space="preserve">Ms. Preeti Sharma</t>
  </si>
  <si>
    <t xml:space="preserve">Core 2 - Fundamentals of Web Development</t>
  </si>
  <si>
    <t>2526ECD0145</t>
  </si>
  <si>
    <t>1y-jw_X0r3RMBdef7hZHcPcoedZzlqi5Z</t>
  </si>
  <si>
    <t>https://drive.google.com/file/d/1y-jw_X0r3RMBdef7hZHcPcoedZzlqi5Z/view?usp=drivesdk</t>
  </si>
  <si>
    <t xml:space="preserve">Mr. Mehul Dalwadi</t>
  </si>
  <si>
    <t xml:space="preserve">Ms. Vaishali Shah</t>
  </si>
  <si>
    <t xml:space="preserve">AI &amp; ML</t>
  </si>
  <si>
    <t>2526ECD0146</t>
  </si>
  <si>
    <t>1VNlma5pkuRrBgpv91x8iW6mZmmxw3MQ5</t>
  </si>
  <si>
    <t>https://drive.google.com/file/d/1VNlma5pkuRrBgpv91x8iW6mZmmxw3MQ5/view?usp=drivesdk</t>
  </si>
  <si>
    <t xml:space="preserve">Mr. Abhishek Singh</t>
  </si>
  <si>
    <t xml:space="preserve">Ms. Aesh Gada</t>
  </si>
  <si>
    <t>2526ECD0147</t>
  </si>
  <si>
    <t>11RQIpvK8U4tF8vxfiLafwr2SoaA-_EJO</t>
  </si>
  <si>
    <t>https://drive.google.com/file/d/11RQIpvK8U4tF8vxfiLafwr2SoaA-_EJO/view?usp=drivesdk</t>
  </si>
  <si>
    <t xml:space="preserve">Mr. Saumil Trivedi</t>
  </si>
  <si>
    <t xml:space="preserve">Rama Deepak</t>
  </si>
  <si>
    <t xml:space="preserve">Core 2 - Digital Electronics </t>
  </si>
  <si>
    <t>2526ECD0148</t>
  </si>
  <si>
    <t>1E2ThvZa6uYZDQxF4irUhYQUKPhO2rqJo</t>
  </si>
  <si>
    <t>https://drive.google.com/file/d/1E2ThvZa6uYZDQxF4irUhYQUKPhO2rqJo/view?usp=drivesdk</t>
  </si>
  <si>
    <t xml:space="preserve">Document successfully created; Document successfully merged; PDF created; Manually run by nirmita.patel27183@paruluniversity.ac.in; Timestamp: Apr 24 2026 3:17 AM</t>
  </si>
  <si>
    <t xml:space="preserve">Ms. Uma Bharti</t>
  </si>
  <si>
    <t xml:space="preserve">Mr. Praveen Tomar</t>
  </si>
  <si>
    <t xml:space="preserve">Data Visualization for Business Intelligence</t>
  </si>
  <si>
    <t>2526ECD0149</t>
  </si>
  <si>
    <t>1nB36oNXihotSqcVi3Zo6fWirl8zyJtWC</t>
  </si>
  <si>
    <t>https://drive.google.com/file/d/1nB36oNXihotSqcVi3Zo6fWirl8zyJtWC/view?usp=drivesdk</t>
  </si>
  <si>
    <t xml:space="preserve">Mr. Jigar Bhavsar</t>
  </si>
  <si>
    <t xml:space="preserve">Ms. Varsha Biradar</t>
  </si>
  <si>
    <t xml:space="preserve">Core 3 - Database Management Systems </t>
  </si>
  <si>
    <t>2526ECD0150</t>
  </si>
  <si>
    <t>1crWestL81Jz9Inhum9EU1dv8npLyZeNs</t>
  </si>
  <si>
    <t>https://drive.google.com/file/d/1crWestL81Jz9Inhum9EU1dv8npLyZeNs/view?usp=drivesdk</t>
  </si>
  <si>
    <t xml:space="preserve">Ms. Shivani Bhadoriya</t>
  </si>
  <si>
    <t xml:space="preserve">Ms. Priyanka Mod</t>
  </si>
  <si>
    <t xml:space="preserve">Core 4 - System Analysis and Design </t>
  </si>
  <si>
    <t>2526ECD0151</t>
  </si>
  <si>
    <t>15J5FSzphvwLqaWpKgc0l7RAuqQwM9RgR</t>
  </si>
  <si>
    <t>https://drive.google.com/file/d/15J5FSzphvwLqaWpKgc0l7RAuqQwM9RgR/view?usp=drivesdk</t>
  </si>
  <si>
    <t xml:space="preserve">Mr. Ashishkumar Singh</t>
  </si>
  <si>
    <t>Samant</t>
  </si>
  <si>
    <t xml:space="preserve">R-programming </t>
  </si>
  <si>
    <t>2526ECD0152</t>
  </si>
  <si>
    <t>1vwhsk2Qnn1f7zOXjThHweIhgNtvu_v1y</t>
  </si>
  <si>
    <t>https://drive.google.com/file/d/1vwhsk2Qnn1f7zOXjThHweIhgNtvu_v1y/view?usp=drivesdk</t>
  </si>
  <si>
    <t xml:space="preserve">Ms. Rinku Patil</t>
  </si>
  <si>
    <t xml:space="preserve">Honey Parmar</t>
  </si>
  <si>
    <t xml:space="preserve">Core 5 - Object Oriented Development with JAVA</t>
  </si>
  <si>
    <t>2526ECD0153</t>
  </si>
  <si>
    <t>1T8rpyuFewPsoJcvtEFOa3MghiH8u2_aV</t>
  </si>
  <si>
    <t>https://drive.google.com/file/d/1T8rpyuFewPsoJcvtEFOa3MghiH8u2_aV/view?usp=drivesdk</t>
  </si>
  <si>
    <t xml:space="preserve">Mr. Ghanshyam Rathod</t>
  </si>
  <si>
    <t xml:space="preserve">Ms. Rinkal Sarvaiya</t>
  </si>
  <si>
    <t xml:space="preserve">Core 6 - Data Structure </t>
  </si>
  <si>
    <t>2526ECD0154</t>
  </si>
  <si>
    <t>1yV_baoi4hN96V3uJtI74rnF1JxZkb4Hl</t>
  </si>
  <si>
    <t>https://drive.google.com/file/d/1yV_baoi4hN96V3uJtI74rnF1JxZkb4Hl/view?usp=drivesdk</t>
  </si>
  <si>
    <t xml:space="preserve">Document successfully created; Document successfully merged; PDF created; Manually run by nirmita.patel27183@paruluniversity.ac.in; Timestamp: Apr 24 2026 3:18 AM</t>
  </si>
  <si>
    <t xml:space="preserve">Mr. Adarsh Ashok</t>
  </si>
  <si>
    <t>Rafi</t>
  </si>
  <si>
    <t xml:space="preserve">Core 7- Operating System with Linux &amp; Shell Programming</t>
  </si>
  <si>
    <t>2526ECD0155</t>
  </si>
  <si>
    <t>1mGKZU0uCN9i01uRRJT5mQTTS5FVMMs8o</t>
  </si>
  <si>
    <t>https://drive.google.com/file/d/1mGKZU0uCN9i01uRRJT5mQTTS5FVMMs8o/view?usp=drivesdk</t>
  </si>
  <si>
    <t xml:space="preserve">Saswati C.</t>
  </si>
  <si>
    <t xml:space="preserve">Dr. Sujit Singh</t>
  </si>
  <si>
    <t>2526ECD0156</t>
  </si>
  <si>
    <t>1alQ0qCBNaTjN7MjdPwFwV_xn0rS9iZiZ</t>
  </si>
  <si>
    <t>https://drive.google.com/file/d/1alQ0qCBNaTjN7MjdPwFwV_xn0rS9iZiZ/view?usp=drivesdk</t>
  </si>
  <si>
    <t xml:space="preserve">Rafi </t>
  </si>
  <si>
    <t>2526ECD0157</t>
  </si>
  <si>
    <t>1ukt74oSwZDMrgvg9stwm5Snlpmro3Gng</t>
  </si>
  <si>
    <t>https://drive.google.com/file/d/1ukt74oSwZDMrgvg9stwm5Snlpmro3Gng/view?usp=drivesdk</t>
  </si>
  <si>
    <t xml:space="preserve">Mr. Mayank Prasar</t>
  </si>
  <si>
    <t xml:space="preserve">Core-8- Data Communication and Networking </t>
  </si>
  <si>
    <t>2526ECD0158</t>
  </si>
  <si>
    <t>1csEENhS50ik59LdBU4y3oaZBTC6X9YGL</t>
  </si>
  <si>
    <t>https://drive.google.com/file/d/1csEENhS50ik59LdBU4y3oaZBTC6X9YGL/view?usp=drivesdk</t>
  </si>
  <si>
    <t xml:space="preserve">Ms. Khyati Kariya</t>
  </si>
  <si>
    <t xml:space="preserve">Mr. Pratik Parmar</t>
  </si>
  <si>
    <t xml:space="preserve">Core 9 - Open Source Technology using PHP</t>
  </si>
  <si>
    <t>2526ECD0159</t>
  </si>
  <si>
    <t>154EXhdDSi-0OdipgxHqv75khnYt3qz78</t>
  </si>
  <si>
    <t>https://drive.google.com/file/d/154EXhdDSi-0OdipgxHqv75khnYt3qz78/view?usp=drivesdk</t>
  </si>
  <si>
    <t xml:space="preserve">Ms. Megha Trivedi</t>
  </si>
  <si>
    <t xml:space="preserve">Ms. Shikha Bansal</t>
  </si>
  <si>
    <t xml:space="preserve">Specialization - Artificial Intelligence - I</t>
  </si>
  <si>
    <t>2526ECD0160</t>
  </si>
  <si>
    <t>1A8LaY2NI9RkfiekjM0BskQSBP-0CywZl</t>
  </si>
  <si>
    <t>https://drive.google.com/file/d/1A8LaY2NI9RkfiekjM0BskQSBP-0CywZl/view?usp=drivesdk</t>
  </si>
  <si>
    <t xml:space="preserve">Document successfully created; Document successfully merged; PDF created; Manually run by nirmita.patel27183@paruluniversity.ac.in; Timestamp: Apr 24 2026 3:19 AM</t>
  </si>
  <si>
    <t xml:space="preserve">Ms. Sonali Kharade</t>
  </si>
  <si>
    <t xml:space="preserve">Ms. Chaitali Nayka</t>
  </si>
  <si>
    <t xml:space="preserve">Specialization - Big Data Analytics - I</t>
  </si>
  <si>
    <t>2526ECD0161</t>
  </si>
  <si>
    <t>1omaTDMCsz4HYKnFu95lcy2mEGznvzkAT</t>
  </si>
  <si>
    <t>https://drive.google.com/file/d/1omaTDMCsz4HYKnFu95lcy2mEGznvzkAT/view?usp=drivesdk</t>
  </si>
  <si>
    <t xml:space="preserve">Ms. Komal Bharti</t>
  </si>
  <si>
    <t xml:space="preserve">Ms. Smarika Rai</t>
  </si>
  <si>
    <t xml:space="preserve">Specialization - Block Chain Technology - I</t>
  </si>
  <si>
    <t>2526ECD0162</t>
  </si>
  <si>
    <t>1UoDX33xaD3qrBSuUc_zIZcU4Y5ytxPxN</t>
  </si>
  <si>
    <t>https://drive.google.com/file/d/1UoDX33xaD3qrBSuUc_zIZcU4Y5ytxPxN/view?usp=drivesdk</t>
  </si>
  <si>
    <t xml:space="preserve">Mr.Dhruv Shah</t>
  </si>
  <si>
    <t xml:space="preserve">Mr. Mohit Waghela</t>
  </si>
  <si>
    <t xml:space="preserve">Specialization - Cloud Computing - I</t>
  </si>
  <si>
    <t>2526ECD0163</t>
  </si>
  <si>
    <t>1Tew5Y7qJlkFmyktM4PiBsLG9sxmd4GS3</t>
  </si>
  <si>
    <t>https://drive.google.com/file/d/1Tew5Y7qJlkFmyktM4PiBsLG9sxmd4GS3/view?usp=drivesdk</t>
  </si>
  <si>
    <t xml:space="preserve">Mr. Krunal Dattesh</t>
  </si>
  <si>
    <t xml:space="preserve">Mr. Nishith Shahu</t>
  </si>
  <si>
    <t xml:space="preserve">Power Electronics - II</t>
  </si>
  <si>
    <t>2526ECD0169</t>
  </si>
  <si>
    <t>1KdGjofO9aadmDvl272Oyj8sjizEZAZkv</t>
  </si>
  <si>
    <t>https://drive.google.com/file/d/1KdGjofO9aadmDvl272Oyj8sjizEZAZkv/view?usp=drivesdk</t>
  </si>
  <si>
    <t xml:space="preserve">Document successfully created; Document successfully merged; PDF created; Manually run by nirmita.patel27183@paruluniversity.ac.in; Timestamp: Apr 24 2026 4:35 AM</t>
  </si>
  <si>
    <t xml:space="preserve">Dr.Vipul Dave</t>
  </si>
  <si>
    <t xml:space="preserve">Mr. Vimal Kanpariya</t>
  </si>
  <si>
    <t xml:space="preserve">Analysis of Mechanism and Machine Elements</t>
  </si>
  <si>
    <t>2526ECD0170</t>
  </si>
  <si>
    <t>1cpvjucmyUL_4pxfFXnJL0Nr-aBzbh-AW</t>
  </si>
  <si>
    <t>https://drive.google.com/file/d/1cpvjucmyUL_4pxfFXnJL0Nr-aBzbh-AW/view?usp=drivesdk</t>
  </si>
  <si>
    <t xml:space="preserve">Mr. Akhil CK</t>
  </si>
  <si>
    <t xml:space="preserve">Mr. Vishal Nizama</t>
  </si>
  <si>
    <t xml:space="preserve">Aerodynamics I</t>
  </si>
  <si>
    <t>2526ECD0171</t>
  </si>
  <si>
    <t>1gUZPmpgbH62_4i96n1a3X3JLOK9inzW0</t>
  </si>
  <si>
    <t>https://drive.google.com/file/d/1gUZPmpgbH62_4i96n1a3X3JLOK9inzW0/view?usp=drivesdk</t>
  </si>
  <si>
    <t xml:space="preserve">Ms. Mansha Kumari</t>
  </si>
  <si>
    <t xml:space="preserve">Mr. Anup Singh</t>
  </si>
  <si>
    <t xml:space="preserve">Propulsion I</t>
  </si>
  <si>
    <t>2526ECD0172</t>
  </si>
  <si>
    <t>1T3WrvWXhqfrkMascRUdJoF5zNZSh020X</t>
  </si>
  <si>
    <t>https://drive.google.com/file/d/1T3WrvWXhqfrkMascRUdJoF5zNZSh020X/view?usp=drivesdk</t>
  </si>
  <si>
    <t xml:space="preserve">Mr. Ankit Patel</t>
  </si>
  <si>
    <t xml:space="preserve">Dr. Balaji K</t>
  </si>
  <si>
    <t xml:space="preserve">Introduction to Aerospace  Engineering</t>
  </si>
  <si>
    <t>2526ECD0173</t>
  </si>
  <si>
    <t>1repwrDO5b_ovi_UI4oriw2HAvoBKXiUz</t>
  </si>
  <si>
    <t>https://drive.google.com/file/d/1repwrDO5b_ovi_UI4oriw2HAvoBKXiUz/view?usp=drivesdk</t>
  </si>
  <si>
    <t xml:space="preserve">Document successfully created; Document successfully merged; PDF created; Manually run by nirmita.patel27183@paruluniversity.ac.in; Timestamp: Apr 24 2026 4:36 AM</t>
  </si>
  <si>
    <t xml:space="preserve">Mr. Babu V</t>
  </si>
  <si>
    <t xml:space="preserve">Mr. Naveen Dubbaka</t>
  </si>
  <si>
    <t xml:space="preserve">Aircraft Struture I</t>
  </si>
  <si>
    <t>2526ECD0174</t>
  </si>
  <si>
    <t>1e4tM0JF2EKumNiQJxILyv1_MyiNKAoeV</t>
  </si>
  <si>
    <t>https://drive.google.com/file/d/1e4tM0JF2EKumNiQJxILyv1_MyiNKAoeV/view?usp=drivesdk</t>
  </si>
  <si>
    <t xml:space="preserve">Mr. Shaleen Shukla</t>
  </si>
  <si>
    <t xml:space="preserve">Mr. Ziyam Khan,</t>
  </si>
  <si>
    <t xml:space="preserve">Web Design</t>
  </si>
  <si>
    <t>2526ECD0175</t>
  </si>
  <si>
    <t>1oPLXRg_cVxE5BFogdvlrEHXnTYM_q0rP</t>
  </si>
  <si>
    <t>https://drive.google.com/file/d/1oPLXRg_cVxE5BFogdvlrEHXnTYM_q0rP/view?usp=drivesdk</t>
  </si>
  <si>
    <t xml:space="preserve">Ms. Himani parmar</t>
  </si>
  <si>
    <t xml:space="preserve">Mr. Dhiren purohit</t>
  </si>
  <si>
    <t>DBMS</t>
  </si>
  <si>
    <t>2526ECD0176</t>
  </si>
  <si>
    <t>1h1jBsFglaT8Q2y3NSfnc7088-xxdg__G</t>
  </si>
  <si>
    <t>https://drive.google.com/file/d/1h1jBsFglaT8Q2y3NSfnc7088-xxdg__G/view?usp=drivesdk</t>
  </si>
  <si>
    <t xml:space="preserve">Mr. Arunesh Pratap Singh</t>
  </si>
  <si>
    <t xml:space="preserve">Ms. Ankita Verma</t>
  </si>
  <si>
    <t xml:space="preserve">AWS Cloud Computing</t>
  </si>
  <si>
    <t>2526ECD0177</t>
  </si>
  <si>
    <t>1nSiLwV51NWcVAEqq0lHd3x5kZHBjHI-7</t>
  </si>
  <si>
    <t>https://drive.google.com/file/d/1nSiLwV51NWcVAEqq0lHd3x5kZHBjHI-7/view?usp=drivesdk</t>
  </si>
  <si>
    <t xml:space="preserve">Mr. SUDHANSHU SHRIVASTAVA</t>
  </si>
  <si>
    <t xml:space="preserve">Mr. DEVANG LAKHANI</t>
  </si>
  <si>
    <t xml:space="preserve">Introduction to Aeronautical Engineering</t>
  </si>
  <si>
    <t>2526ECD0199</t>
  </si>
  <si>
    <t>18PVyF4RXslj0awwoSpY87xn6e4Fb3k0x</t>
  </si>
  <si>
    <t>https://drive.google.com/file/d/18PVyF4RXslj0awwoSpY87xn6e4Fb3k0x/view?usp=drivesdk</t>
  </si>
  <si>
    <t xml:space="preserve">Document successfully created; Document successfully merged; PDF created; Manually run by nirmita.patel27183@paruluniversity.ac.in; Timestamp: Apr 24 2026 5:10 AM</t>
  </si>
  <si>
    <t xml:space="preserve">Mr. Risil Bhagat</t>
  </si>
  <si>
    <t xml:space="preserve">Mr. Apoorv Prajapati</t>
  </si>
  <si>
    <t xml:space="preserve">Energy Conservation</t>
  </si>
  <si>
    <t>2526ECD0200</t>
  </si>
  <si>
    <t>17B3-dOgO96i1vaw0Y7IBvYFqC1gi2UnP</t>
  </si>
  <si>
    <t>https://drive.google.com/file/d/17B3-dOgO96i1vaw0Y7IBvYFqC1gi2UnP/view?usp=drivesdk</t>
  </si>
  <si>
    <t xml:space="preserve">Document successfully created; Document successfully merged; PDF created; Manually run by nirmita.patel27183@paruluniversity.ac.in; Timestamp: Apr 24 2026 5:11 AM</t>
  </si>
  <si>
    <t xml:space="preserve">Mr. Rakshit Parikh</t>
  </si>
  <si>
    <t xml:space="preserve">Mr. Pragnesh Kandoliya</t>
  </si>
  <si>
    <t xml:space="preserve">Elements of Mechanical Engineering </t>
  </si>
  <si>
    <t>2526ECD0201</t>
  </si>
  <si>
    <t>1p-oC36Is8HrI_KuDprZZ7hJ0VFAO2-nd</t>
  </si>
  <si>
    <t>https://drive.google.com/file/d/1p-oC36Is8HrI_KuDprZZ7hJ0VFAO2-nd/view?usp=drivesdk</t>
  </si>
  <si>
    <t xml:space="preserve">Ms. Namira Sayaid</t>
  </si>
  <si>
    <t xml:space="preserve"> Mr. Ankit Goad</t>
  </si>
  <si>
    <t xml:space="preserve">Environmental Science</t>
  </si>
  <si>
    <t>2526ECD0202</t>
  </si>
  <si>
    <t>1pIVWFJ56F5KKFEBDHKtBuKN40dtOLTsL</t>
  </si>
  <si>
    <t>https://drive.google.com/file/d/1pIVWFJ56F5KKFEBDHKtBuKN40dtOLTsL/view?usp=drivesdk</t>
  </si>
  <si>
    <t xml:space="preserve">Mr. Lohit Upadhyay</t>
  </si>
  <si>
    <t xml:space="preserve">Pollution Prevention and Control Techniques</t>
  </si>
  <si>
    <t>2526ECD0203</t>
  </si>
  <si>
    <t>1xfASbpZaBDMI9ul-kITlrHhjw5gIH-EH</t>
  </si>
  <si>
    <t>https://drive.google.com/file/d/1xfASbpZaBDMI9ul-kITlrHhjw5gIH-EH/view?usp=drivesdk</t>
  </si>
  <si>
    <t xml:space="preserve">Ms. Vandana Pandya </t>
  </si>
  <si>
    <t xml:space="preserve">Mr. Vijay lalwani</t>
  </si>
  <si>
    <t>2526ECD0204</t>
  </si>
  <si>
    <t>1IdiaWeEj-bdDtlVRAOuYsEtYb2_TfSMt</t>
  </si>
  <si>
    <t>https://drive.google.com/file/d/1IdiaWeEj-bdDtlVRAOuYsEtYb2_TfSMt/view?usp=drivesdk</t>
  </si>
  <si>
    <t xml:space="preserve">Dr. Unnati Soni </t>
  </si>
  <si>
    <t xml:space="preserve">Introduction to Social Case Work and Group Work</t>
  </si>
  <si>
    <t>2526ECD0251</t>
  </si>
  <si>
    <t>1-3k9wamFLGkRlx-JyiL4KK1-DSiudF_L</t>
  </si>
  <si>
    <t>https://drive.google.com/file/d/1-3k9wamFLGkRlx-JyiL4KK1-DSiudF_L/view?usp=drivesdk</t>
  </si>
  <si>
    <t xml:space="preserve">Document successfully created; Document successfully merged; PDF created; Manually run by nirmita.patel27183@paruluniversity.ac.in; Timestamp: Apr 24 2026 6:23 AM</t>
  </si>
  <si>
    <t xml:space="preserve">Ms. L Susmita Devi</t>
  </si>
  <si>
    <t xml:space="preserve">Mr. Anand Basumatary</t>
  </si>
  <si>
    <t xml:space="preserve">Food Storage Engineering </t>
  </si>
  <si>
    <t>2526ECD0324</t>
  </si>
  <si>
    <t>1S8UBFr9BX7loqvnpxXUW6g6786VdnvLy</t>
  </si>
  <si>
    <t>https://drive.google.com/file/d/1S8UBFr9BX7loqvnpxXUW6g6786VdnvLy/view?usp=drivesdk</t>
  </si>
  <si>
    <t xml:space="preserve">Document successfully created; Document successfully merged; PDF created; Manually run by nirmita.patel27183@paruluniversity.ac.in; Timestamp: Apr 24 2026 7:04 AM</t>
  </si>
  <si>
    <t xml:space="preserve">Mr. Parth Kapupara</t>
  </si>
  <si>
    <t xml:space="preserve">Ms. Himanshi Sabhadiya</t>
  </si>
  <si>
    <t xml:space="preserve">Soil and Water Conservation Engineering</t>
  </si>
  <si>
    <t>2526ECD0325</t>
  </si>
  <si>
    <t>12C9zNqh0naJOfnpfSBifLL1zRQtCSeYC</t>
  </si>
  <si>
    <t>https://drive.google.com/file/d/12C9zNqh0naJOfnpfSBifLL1zRQtCSeYC/view?usp=drivesdk</t>
  </si>
  <si>
    <t xml:space="preserve">Document successfully created; Document successfully merged; PDF created; Manually run by nirmita.patel27183@paruluniversity.ac.in; Timestamp: Apr 24 2026 7:05 AM</t>
  </si>
  <si>
    <t>PPI</t>
  </si>
  <si>
    <t xml:space="preserve">Mr. DARSHAN AHIRE</t>
  </si>
  <si>
    <t xml:space="preserve">Ms. DHARA VYAS</t>
  </si>
  <si>
    <t xml:space="preserve">Problem Solving using C</t>
  </si>
  <si>
    <t>2526ECD0326</t>
  </si>
  <si>
    <t>1k8yYPgxrllb771PddDjNCsNidi3kGixy</t>
  </si>
  <si>
    <t>https://drive.google.com/file/d/1k8yYPgxrllb771PddDjNCsNidi3kGixy/view?usp=drivesdk</t>
  </si>
  <si>
    <t xml:space="preserve">Document successfully created; Document successfully merged; PDF created; Manually run by nirmita.patel27183@paruluniversity.ac.in; Timestamp: Apr 26 2026 11:49 PM</t>
  </si>
  <si>
    <t xml:space="preserve">Mr. ANKIT JASOLIYA</t>
  </si>
  <si>
    <t xml:space="preserve">Mr. SANDEEP KUMAR</t>
  </si>
  <si>
    <t xml:space="preserve">Introduction to DBMS</t>
  </si>
  <si>
    <t>2526ECD0327</t>
  </si>
  <si>
    <t>18BOiWkafnBaKJeEIWpTbdhEbMWyXRxi8</t>
  </si>
  <si>
    <t>https://drive.google.com/file/d/18BOiWkafnBaKJeEIWpTbdhEbMWyXRxi8/view?usp=drivesdk</t>
  </si>
  <si>
    <t xml:space="preserve">Ms. APEKSHA GANDHI</t>
  </si>
  <si>
    <t xml:space="preserve">Mr. YASH SUTHAR</t>
  </si>
  <si>
    <t xml:space="preserve">Data Mining </t>
  </si>
  <si>
    <t>2526ECD0328</t>
  </si>
  <si>
    <t>1hHJ_51JSThMxinLxEKJw4xann8fPsw6E</t>
  </si>
  <si>
    <t>https://drive.google.com/file/d/1hHJ_51JSThMxinLxEKJw4xann8fPsw6E/view?usp=drivesdk</t>
  </si>
  <si>
    <t xml:space="preserve">Document successfully created; Document successfully merged; PDF created; Manually run by nirmita.patel27183@paruluniversity.ac.in; Timestamp: Apr 26 2026 11:50 PM</t>
  </si>
  <si>
    <t xml:space="preserve">NITHU KUNJUMON</t>
  </si>
  <si>
    <t xml:space="preserve">SAPNA PATEL</t>
  </si>
  <si>
    <t xml:space="preserve">Cloud Computing </t>
  </si>
  <si>
    <t>2526ECD0329</t>
  </si>
  <si>
    <t>1dygpOOrO4lpCXRR0K8sqcVj-ZdpeWC5j</t>
  </si>
  <si>
    <t>https://drive.google.com/file/d/1dygpOOrO4lpCXRR0K8sqcVj-ZdpeWC5j/view?usp=drivesdk</t>
  </si>
  <si>
    <t xml:space="preserve">Ms. SHIVANGI VAGHELA</t>
  </si>
  <si>
    <t xml:space="preserve">Ms. SHIVANI JANI</t>
  </si>
  <si>
    <t xml:space="preserve">Mobile Application Development </t>
  </si>
  <si>
    <t>2526ECD0330</t>
  </si>
  <si>
    <t>1huNTbUFKwWJxLH1p8-Qt7TApdiuJfy5i</t>
  </si>
  <si>
    <t>https://drive.google.com/file/d/1huNTbUFKwWJxLH1p8-Qt7TApdiuJfy5i/view?usp=drivesdk</t>
  </si>
  <si>
    <t xml:space="preserve">Ms. DHANSHREE KEDARE</t>
  </si>
  <si>
    <t xml:space="preserve">Mr. HARISH JARDAWALA</t>
  </si>
  <si>
    <t xml:space="preserve">Artificial Intelligence and Machine Learning</t>
  </si>
  <si>
    <t>2526ECD0331</t>
  </si>
  <si>
    <t>1vHLAun5KTXfQclX8qWi9l-nGd5Va8sT4</t>
  </si>
  <si>
    <t>https://drive.google.com/file/d/1vHLAun5KTXfQclX8qWi9l-nGd5Va8sT4/view?usp=drivesdk</t>
  </si>
  <si>
    <t xml:space="preserve">Ms. Nishidha Panchal</t>
  </si>
  <si>
    <t xml:space="preserve">Ms. Khushboo Rana</t>
  </si>
  <si>
    <t xml:space="preserve">Fundamentals of Computer application and web development</t>
  </si>
  <si>
    <t>2526ECD0332</t>
  </si>
  <si>
    <t>1deeFmdDNjbUDvuvgnJ-owostX0ZP6DDd</t>
  </si>
  <si>
    <t>https://drive.google.com/file/d/1deeFmdDNjbUDvuvgnJ-owostX0ZP6DDd/view?usp=drivesdk</t>
  </si>
  <si>
    <t xml:space="preserve">Ms. Komal Dobariya</t>
  </si>
  <si>
    <t xml:space="preserve">Mr. Kunal saxena</t>
  </si>
  <si>
    <t xml:space="preserve">Basics of Web Programming using PHP</t>
  </si>
  <si>
    <t>2526ECD0333</t>
  </si>
  <si>
    <t>18bJkkwWuNcR2NDdKhgnZo9HyVmCJTunv</t>
  </si>
  <si>
    <t>https://drive.google.com/file/d/18bJkkwWuNcR2NDdKhgnZo9HyVmCJTunv/view?usp=drivesdk</t>
  </si>
  <si>
    <t xml:space="preserve">Ms. Komal Patil</t>
  </si>
  <si>
    <t xml:space="preserve">Ms. Shivani Jaiswal</t>
  </si>
  <si>
    <t xml:space="preserve">Data Structure</t>
  </si>
  <si>
    <t>2526ECD0334</t>
  </si>
  <si>
    <t>18T0FqYe6lncXvqxkUJvx1BFJpOXOVigk</t>
  </si>
  <si>
    <t>https://drive.google.com/file/d/18T0FqYe6lncXvqxkUJvx1BFJpOXOVigk/view?usp=drivesdk</t>
  </si>
  <si>
    <t xml:space="preserve">Document successfully created; Document successfully merged; PDF created; Manually run by nirmita.patel27183@paruluniversity.ac.in; Timestamp: Apr 26 2026 11:51 PM</t>
  </si>
  <si>
    <t xml:space="preserve">Ms. Bhumi Mistry</t>
  </si>
  <si>
    <t xml:space="preserve">Ms. Nimisha Halpati</t>
  </si>
  <si>
    <t xml:space="preserve">Software Development</t>
  </si>
  <si>
    <t>2526ECD0335</t>
  </si>
  <si>
    <t>19k-E9v5Jrsb20pvLzQSNDoVv6e7x3h6m</t>
  </si>
  <si>
    <t>https://drive.google.com/file/d/19k-E9v5Jrsb20pvLzQSNDoVv6e7x3h6m/view?usp=drivesdk</t>
  </si>
  <si>
    <t xml:space="preserve">Ms. Krishna Gujarathi</t>
  </si>
  <si>
    <t xml:space="preserve">Ms. Drashty Shah</t>
  </si>
  <si>
    <t xml:space="preserve">Computer Organization and architecture</t>
  </si>
  <si>
    <t>2526ECD0336</t>
  </si>
  <si>
    <t>1rqgkTP1ClLNnWfcu4uAFP2Y9seT2kEwJ</t>
  </si>
  <si>
    <t>https://drive.google.com/file/d/1rqgkTP1ClLNnWfcu4uAFP2Y9seT2kEwJ/view?usp=drivesdk</t>
  </si>
  <si>
    <t xml:space="preserve">Ms. Vidita Patel</t>
  </si>
  <si>
    <t xml:space="preserve">Ms. Shruti manohar</t>
  </si>
  <si>
    <t xml:space="preserve">Computer Graphics_Image Processing</t>
  </si>
  <si>
    <t>2526ECD0337</t>
  </si>
  <si>
    <t>1H9cKL37WldPoq-36iq3SRTvqOJLTiM_V</t>
  </si>
  <si>
    <t>https://drive.google.com/file/d/1H9cKL37WldPoq-36iq3SRTvqOJLTiM_V/view?usp=drivesdk</t>
  </si>
  <si>
    <t xml:space="preserve">Ms. Neesha dholakia</t>
  </si>
  <si>
    <t xml:space="preserve">Ms. Muskan Chauhan</t>
  </si>
  <si>
    <t>.Net</t>
  </si>
  <si>
    <t>2526ECD0338</t>
  </si>
  <si>
    <t>1C1-dTJ0VUcYOYhE27CrcUKeiWkhGKL-D</t>
  </si>
  <si>
    <t>https://drive.google.com/file/d/1C1-dTJ0VUcYOYhE27CrcUKeiWkhGKL-D/view?usp=drivesdk</t>
  </si>
  <si>
    <t xml:space="preserve">Ms. Himani Pandya</t>
  </si>
  <si>
    <t xml:space="preserve">Mr. Kaushal sharma</t>
  </si>
  <si>
    <t xml:space="preserve">Software testing and tools</t>
  </si>
  <si>
    <t>2526ECD0339</t>
  </si>
  <si>
    <t>1tC0W3Sx1PJte_XzEYjBV8RHmqqh1Hee5</t>
  </si>
  <si>
    <t>https://drive.google.com/file/d/1tC0W3Sx1PJte_XzEYjBV8RHmqqh1Hee5/view?usp=drivesdk</t>
  </si>
  <si>
    <t xml:space="preserve">Ms.. Divya Padhiyar</t>
  </si>
  <si>
    <t xml:space="preserve">Mr. Vinayak Pandya</t>
  </si>
  <si>
    <t xml:space="preserve">Data Mining</t>
  </si>
  <si>
    <t>2526ECD0340</t>
  </si>
  <si>
    <t>1s2BhvDN8iFn3YzpVIXdTcqpk8tRvYZ_B</t>
  </si>
  <si>
    <t>https://drive.google.com/file/d/1s2BhvDN8iFn3YzpVIXdTcqpk8tRvYZ_B/view?usp=drivesdk</t>
  </si>
  <si>
    <t xml:space="preserve">Document successfully created; Document successfully merged; PDF created; Manually run by nirmita.patel27183@paruluniversity.ac.in; Timestamp: Apr 26 2026 11:52 PM</t>
  </si>
  <si>
    <t xml:space="preserve">Ms. Dhruvi Bhatt</t>
  </si>
  <si>
    <t xml:space="preserve">Ms. Monika Chauhan</t>
  </si>
  <si>
    <t xml:space="preserve">Android </t>
  </si>
  <si>
    <t>2526ECD0341</t>
  </si>
  <si>
    <t>1lkyZPF_qzHl7MHWTV1mkNX8furxsm3hw</t>
  </si>
  <si>
    <t>https://drive.google.com/file/d/1lkyZPF_qzHl7MHWTV1mkNX8furxsm3hw/view?usp=drivesdk</t>
  </si>
  <si>
    <t xml:space="preserve">Mr. Parth singhala</t>
  </si>
  <si>
    <t xml:space="preserve">Mr. Asfak Darveshwala</t>
  </si>
  <si>
    <t xml:space="preserve">Network Security and Cryptography</t>
  </si>
  <si>
    <t>2526ECD0342</t>
  </si>
  <si>
    <t>1AyRlrHhhdE9y1duvvkMmu1g1H_oDz-cm</t>
  </si>
  <si>
    <t>https://drive.google.com/file/d/1AyRlrHhhdE9y1duvvkMmu1g1H_oDz-cm/view?usp=drivesdk</t>
  </si>
  <si>
    <t xml:space="preserve">Mr. Jay Soliya</t>
  </si>
  <si>
    <t xml:space="preserve">Ms. Mitali Panchal</t>
  </si>
  <si>
    <t xml:space="preserve">AI </t>
  </si>
  <si>
    <t>2526ECD0343</t>
  </si>
  <si>
    <t>1NR-gUHxEqexzW_Fz9i_xubzH1emaxSM0</t>
  </si>
  <si>
    <t>https://drive.google.com/file/d/1NR-gUHxEqexzW_Fz9i_xubzH1emaxSM0/view?usp=drivesdk</t>
  </si>
  <si>
    <t xml:space="preserve">Ms. Unnati Shah</t>
  </si>
  <si>
    <t xml:space="preserve">Mr. Azhar shaikh</t>
  </si>
  <si>
    <t xml:space="preserve">Basic Electronics</t>
  </si>
  <si>
    <t>2526ECD0344</t>
  </si>
  <si>
    <t>1sJA6vqsdHf491nKz3i8GZB8Pfp-pWgGK</t>
  </si>
  <si>
    <t>https://drive.google.com/file/d/1sJA6vqsdHf491nKz3i8GZB8Pfp-pWgGK/view?usp=drivesdk</t>
  </si>
  <si>
    <t xml:space="preserve">Ms. Komal Panchal</t>
  </si>
  <si>
    <t xml:space="preserve">E-Waste Managment</t>
  </si>
  <si>
    <t>2526ECD0345</t>
  </si>
  <si>
    <t>132-48eNbflqKq261Vm1tMONDi8lxt6Ig</t>
  </si>
  <si>
    <t>https://drive.google.com/file/d/132-48eNbflqKq261Vm1tMONDi8lxt6Ig/view?usp=drivesdk</t>
  </si>
  <si>
    <t>PHARMACY</t>
  </si>
  <si>
    <t xml:space="preserve"> Dr. Ishan Panchal</t>
  </si>
  <si>
    <t xml:space="preserve">Ms. Hirak Shah</t>
  </si>
  <si>
    <t xml:space="preserve">Medicinal Biochemistry</t>
  </si>
  <si>
    <t>2526ECD0355</t>
  </si>
  <si>
    <t>1j2Z0ZYSB6hjJyK_l3fAKM9qbOdF8D0lP</t>
  </si>
  <si>
    <t>https://drive.google.com/file/d/1j2Z0ZYSB6hjJyK_l3fAKM9qbOdF8D0lP/view?usp=drivesdk</t>
  </si>
  <si>
    <t xml:space="preserve">Document successfully created; Document successfully merged; PDF created; Manually run by nirmita.patel27183@paruluniversity.ac.in; Timestamp: Apr 27 2026 1:48 AM</t>
  </si>
  <si>
    <t xml:space="preserve">Ms. Bhaveshwari Wagh</t>
  </si>
  <si>
    <t xml:space="preserve">Mr. Subham Dhureker</t>
  </si>
  <si>
    <t xml:space="preserve">Pharmaceutical Inorganic Chemistry</t>
  </si>
  <si>
    <t>2526ECD0356</t>
  </si>
  <si>
    <t>13adbFClpbTmYQqF9_Ae543_NUGZqEO2C</t>
  </si>
  <si>
    <t>https://drive.google.com/file/d/13adbFClpbTmYQqF9_Ae543_NUGZqEO2C/view?usp=drivesdk</t>
  </si>
  <si>
    <t xml:space="preserve">Dr. Tanvi Dodiya</t>
  </si>
  <si>
    <t xml:space="preserve">Ms Disha Prajapati</t>
  </si>
  <si>
    <t xml:space="preserve">Pharmacognosy &amp; Phytopharmaceuticals</t>
  </si>
  <si>
    <t>2526ECD0357</t>
  </si>
  <si>
    <t>1hHZhOXHmbTxY4VnH5m-tbtr9ppyYoWID</t>
  </si>
  <si>
    <t>https://drive.google.com/file/d/1hHZhOXHmbTxY4VnH5m-tbtr9ppyYoWID/view?usp=drivesdk</t>
  </si>
  <si>
    <t xml:space="preserve">Dr. Jagdish Kakdiya</t>
  </si>
  <si>
    <t xml:space="preserve">Ms Zalak Shah</t>
  </si>
  <si>
    <t>Pharmacology-II</t>
  </si>
  <si>
    <t>2526ECD0358</t>
  </si>
  <si>
    <t>1ZWl-kXSS_PdXItt-A3OgqC54YGP95erJ</t>
  </si>
  <si>
    <t>https://drive.google.com/file/d/1ZWl-kXSS_PdXItt-A3OgqC54YGP95erJ/view?usp=drivesdk</t>
  </si>
  <si>
    <t xml:space="preserve">Mr. Taufik Mulla</t>
  </si>
  <si>
    <t xml:space="preserve">Mr. Govind Sharma</t>
  </si>
  <si>
    <t xml:space="preserve">Pharmaceutical Jurisprudence</t>
  </si>
  <si>
    <t>2526ECD0359</t>
  </si>
  <si>
    <t>1k8lhQtlm7Ly6p9LvluB03WzcsjgVXUQp</t>
  </si>
  <si>
    <t>https://drive.google.com/file/d/1k8lhQtlm7Ly6p9LvluB03WzcsjgVXUQp/view?usp=drivesdk</t>
  </si>
  <si>
    <t xml:space="preserve">Document successfully created; Document successfully merged; PDF created; Manually run by nirmita.patel27183@paruluniversity.ac.in; Timestamp: Apr 27 2026 1:49 AM</t>
  </si>
  <si>
    <t xml:space="preserve">Dr. Drishti Panjawani</t>
  </si>
  <si>
    <t xml:space="preserve">Ms. Maitri Suthar</t>
  </si>
  <si>
    <t xml:space="preserve">Pharmaceutical Formulations</t>
  </si>
  <si>
    <t>2526ECD0360</t>
  </si>
  <si>
    <t>1GSsrNS8K2tRjKDZ5_OoHrB30n7lUh4QU</t>
  </si>
  <si>
    <t>https://drive.google.com/file/d/1GSsrNS8K2tRjKDZ5_OoHrB30n7lUh4QU/view?usp=drivesdk</t>
  </si>
  <si>
    <t xml:space="preserve">Dr. Hirni Patel</t>
  </si>
  <si>
    <t xml:space="preserve">Dr. Anshul Harnawa</t>
  </si>
  <si>
    <t>Pharmacotherapeutics-III</t>
  </si>
  <si>
    <t>2526ECD0361</t>
  </si>
  <si>
    <t>11xRvL5MiACTMK8JiYCgI82Y-w7Ivlj4G</t>
  </si>
  <si>
    <t>https://drive.google.com/file/d/11xRvL5MiACTMK8JiYCgI82Y-w7Ivlj4G/view?usp=drivesdk</t>
  </si>
  <si>
    <t xml:space="preserve"> Dr. Prayan Deep Das</t>
  </si>
  <si>
    <t xml:space="preserve">Dr. Akash Sakla</t>
  </si>
  <si>
    <t xml:space="preserve">Pharmaceutical Chemistry – Theory</t>
  </si>
  <si>
    <t>2526ECD0362</t>
  </si>
  <si>
    <t>1vpOb-PnWsTFK6b5mmA0As-QQN-Jk3x-Q</t>
  </si>
  <si>
    <t>https://drive.google.com/file/d/1vpOb-PnWsTFK6b5mmA0As-QQN-Jk3x-Q/view?usp=drivesdk</t>
  </si>
  <si>
    <t xml:space="preserve">Dr. Kunjal Vegad</t>
  </si>
  <si>
    <t xml:space="preserve">Mr. Rakesh Kashyap</t>
  </si>
  <si>
    <t xml:space="preserve">Pharmacognosy –Theory</t>
  </si>
  <si>
    <t>2526ECD0363</t>
  </si>
  <si>
    <t>1DfqxEf9PVGyI89tShMKrKqtRH_zWUptL</t>
  </si>
  <si>
    <t>https://drive.google.com/file/d/1DfqxEf9PVGyI89tShMKrKqtRH_zWUptL/view?usp=drivesdk</t>
  </si>
  <si>
    <t xml:space="preserve">Ms. Samiksha Jaiswal</t>
  </si>
  <si>
    <t xml:space="preserve">Mr. Neeraj Kumar</t>
  </si>
  <si>
    <t xml:space="preserve">Human Anatomy &amp; Physiology –Theory</t>
  </si>
  <si>
    <t>2526ECD0364</t>
  </si>
  <si>
    <t>1o_3N_JfZ7OPRbTICW7UlPuxYykzDN6rQ</t>
  </si>
  <si>
    <t>https://drive.google.com/file/d/1o_3N_JfZ7OPRbTICW7UlPuxYykzDN6rQ/view?usp=drivesdk</t>
  </si>
  <si>
    <t xml:space="preserve">Mr. Chirag Sharma</t>
  </si>
  <si>
    <t xml:space="preserve">Ms. Nimisha Vasava</t>
  </si>
  <si>
    <t xml:space="preserve">Social Pharmacy –Theory</t>
  </si>
  <si>
    <t>2526ECD0365</t>
  </si>
  <si>
    <t>1Evm3w6w5o9smxmcFxAWvYMy1rafKBJMH</t>
  </si>
  <si>
    <t>https://drive.google.com/file/d/1Evm3w6w5o9smxmcFxAWvYMy1rafKBJMH/view?usp=drivesdk</t>
  </si>
  <si>
    <t xml:space="preserve">Document successfully created; Document successfully merged; PDF created; Manually run by nirmita.patel27183@paruluniversity.ac.in; Timestamp: Apr 27 2026 1:50 AM</t>
  </si>
  <si>
    <t xml:space="preserve">Ms. Dhwani Shah</t>
  </si>
  <si>
    <t xml:space="preserve">Ms. Chanadan Nakum</t>
  </si>
  <si>
    <t xml:space="preserve">Biochemistry &amp; Clinical Pathology – Theory</t>
  </si>
  <si>
    <t>2526ECD0366</t>
  </si>
  <si>
    <t>1vMWfqni9tgrbrqrn_8pAx8fFK41IEded</t>
  </si>
  <si>
    <t>https://drive.google.com/file/d/1vMWfqni9tgrbrqrn_8pAx8fFK41IEded/view?usp=drivesdk</t>
  </si>
  <si>
    <t xml:space="preserve">Pharmacy Law &amp; Ethics</t>
  </si>
  <si>
    <t>2526ECD0367</t>
  </si>
  <si>
    <t>1o-C4A8VsSGh5MzXQSn7mZs5kT-NuOyzV</t>
  </si>
  <si>
    <t>https://drive.google.com/file/d/1o-C4A8VsSGh5MzXQSn7mZs5kT-NuOyzV/view?usp=drivesdk</t>
  </si>
  <si>
    <t xml:space="preserve">Dr. Neetu Choudhary</t>
  </si>
  <si>
    <t xml:space="preserve">Ms. Suvigya Baranwal</t>
  </si>
  <si>
    <t xml:space="preserve">Introduction Of Neuro Science</t>
  </si>
  <si>
    <t>2526ECD0388</t>
  </si>
  <si>
    <t>1op3oCHRxQk6Qq4OQFk-s4cc34r2XwWjM</t>
  </si>
  <si>
    <t>https://drive.google.com/file/d/1op3oCHRxQk6Qq4OQFk-s4cc34r2XwWjM/view?usp=drivesdk</t>
  </si>
  <si>
    <t xml:space="preserve">Document successfully created; Document successfully merged; PDF created; Manually run by nirmita.patel27183@paruluniversity.ac.in; Timestamp: Apr 28 2026 1:54 AM</t>
  </si>
  <si>
    <t xml:space="preserve">Mr. Samuel J</t>
  </si>
  <si>
    <t xml:space="preserve">Ms. Rutuja Solkar</t>
  </si>
  <si>
    <t xml:space="preserve">Infection control and plasmapheresis (T)</t>
  </si>
  <si>
    <t>2526ECD0389</t>
  </si>
  <si>
    <t>15uT99ac5cwq3r8P1sR-37QMaNl7JQjDT</t>
  </si>
  <si>
    <t>https://drive.google.com/file/d/15uT99ac5cwq3r8P1sR-37QMaNl7JQjDT/view?usp=drivesdk</t>
  </si>
  <si>
    <t xml:space="preserve">Dr. Tarun Tank </t>
  </si>
  <si>
    <t xml:space="preserve">Harshita Jaiswal</t>
  </si>
  <si>
    <t>Pharmacotherapeutics-I</t>
  </si>
  <si>
    <t>2526ECD0424</t>
  </si>
  <si>
    <t>1XWw3XvrCS5xp6BNVsdYs9Hv5nS3gjwsh</t>
  </si>
  <si>
    <t>https://drive.google.com/file/d/1XWw3XvrCS5xp6BNVsdYs9Hv5nS3gjwsh/view?usp=drivesdk</t>
  </si>
  <si>
    <t xml:space="preserve">Document successfully created; Document successfully merged; PDF created; Manually run by nirmita.patel27183@paruluniversity.ac.in; Timestamp: Apr 29 2026 12:47 AM</t>
  </si>
  <si>
    <t xml:space="preserve">Ms. Minal Salunkhe </t>
  </si>
  <si>
    <t xml:space="preserve">Ms. Janhvi Solanki</t>
  </si>
  <si>
    <t xml:space="preserve">Pharmaceutical Analysis</t>
  </si>
  <si>
    <t>2526ECD0425</t>
  </si>
  <si>
    <t>1-qQ5zDE4PXDsaqSM7wGv0wAUmdSnFlA8</t>
  </si>
  <si>
    <t>https://drive.google.com/file/d/1-qQ5zDE4PXDsaqSM7wGv0wAUmdSnFlA8/view?usp=drivesdk</t>
  </si>
  <si>
    <t xml:space="preserve">Document successfully created; Document successfully merged; PDF created; Manually run by nirmita.patel27183@paruluniversity.ac.in; Timestamp: Apr 29 2026 12:48 AM</t>
  </si>
  <si>
    <t xml:space="preserve">Dr. Priyanka S</t>
  </si>
  <si>
    <t xml:space="preserve">Dr Kajal Senghani</t>
  </si>
  <si>
    <t xml:space="preserve">Kriya Sharir (Human Physiology) Paper 2</t>
  </si>
  <si>
    <t>2526ECD0449</t>
  </si>
  <si>
    <t>1O_W-dYQB4ARQxPm--iqQ4nvixQt14MLB</t>
  </si>
  <si>
    <t>https://drive.google.com/file/d/1O_W-dYQB4ARQxPm--iqQ4nvixQt14MLB/view?usp=drivesdk</t>
  </si>
  <si>
    <t xml:space="preserve">Document successfully created; Document successfully merged; PDF created; Manually run by nirmita.patel27183@paruluniversity.ac.in; Timestamp: Apr 29 2026 4:10 AM</t>
  </si>
  <si>
    <t xml:space="preserve">Dr. Adishree B</t>
  </si>
  <si>
    <t xml:space="preserve">Dr. Ajith Krishnan</t>
  </si>
  <si>
    <t xml:space="preserve">Agad Tantra evam Vidhi Vaidyaka part A</t>
  </si>
  <si>
    <t>2526ECD0450</t>
  </si>
  <si>
    <t>1at1Z8bs2ct0Kk_OeGzaGcjQCuc3Rbx9u</t>
  </si>
  <si>
    <t>https://drive.google.com/file/d/1at1Z8bs2ct0Kk_OeGzaGcjQCuc3Rbx9u/view?usp=drivesdk</t>
  </si>
  <si>
    <t xml:space="preserve">Document successfully created; Document successfully merged; PDF created; Manually run by nirmita.patel27183@paruluniversity.ac.in; Timestamp: Apr 29 2026 4:11 AM</t>
  </si>
  <si>
    <t xml:space="preserve">Dr. Anoop K S </t>
  </si>
  <si>
    <t xml:space="preserve">Dr. Nikita V</t>
  </si>
  <si>
    <t xml:space="preserve">Kaumarabhritya Part B</t>
  </si>
  <si>
    <t>2526ECD0458</t>
  </si>
  <si>
    <t>1LrwCLfpBvkvXyhd3hGy8rulOHssMrfKI</t>
  </si>
  <si>
    <t>https://drive.google.com/file/d/1LrwCLfpBvkvXyhd3hGy8rulOHssMrfKI/view?usp=drivesdk</t>
  </si>
  <si>
    <t xml:space="preserve">Document successfully created; Document successfully merged; PDF created; Manually run by nirmita.patel27183@paruluniversity.ac.in; Timestamp: Apr 29 2026 4:12 AM</t>
  </si>
  <si>
    <t xml:space="preserve">Dr. Rahul Jadhav</t>
  </si>
  <si>
    <t xml:space="preserve"> Dr. Vivek</t>
  </si>
  <si>
    <t xml:space="preserve">Research Methodology and Medical-statistics</t>
  </si>
  <si>
    <t>2526ECD0459</t>
  </si>
  <si>
    <t>1CMXyvvEq9Sbfa8k9y7lqnQ-muNl13bGL</t>
  </si>
  <si>
    <t>https://drive.google.com/file/d/1CMXyvvEq9Sbfa8k9y7lqnQ-muNl13bGL/view?usp=drivesdk</t>
  </si>
  <si>
    <t xml:space="preserve">PIPER ( Pharmacy)</t>
  </si>
  <si>
    <t xml:space="preserve">Mr. Vivek Joshi</t>
  </si>
  <si>
    <t xml:space="preserve">Ms. Seena Sunil</t>
  </si>
  <si>
    <t xml:space="preserve">Human Anatomy and Physiology</t>
  </si>
  <si>
    <t>2526ECD0465</t>
  </si>
  <si>
    <t>1pWmf1cpdF7igQj1i5dkCgVZ3A8GM_blK</t>
  </si>
  <si>
    <t>https://drive.google.com/file/d/1pWmf1cpdF7igQj1i5dkCgVZ3A8GM_blK/view?usp=drivesdk</t>
  </si>
  <si>
    <t xml:space="preserve">Document successfully created; Document successfully merged; PDF created; Manually run by nirmita.patel27183@paruluniversity.ac.in; Timestamp: Apr 29 2026 4:56 AM</t>
  </si>
  <si>
    <t xml:space="preserve"> Ms. Devshree Parmar </t>
  </si>
  <si>
    <t xml:space="preserve">Mr. Yash Janve</t>
  </si>
  <si>
    <t>Pharmacology–Theory</t>
  </si>
  <si>
    <t>2526ECD0466</t>
  </si>
  <si>
    <t>1sv5Q6Fp2PrE7KUrEBVhqBvtMxgJSGOUQ</t>
  </si>
  <si>
    <t>https://drive.google.com/file/d/1sv5Q6Fp2PrE7KUrEBVhqBvtMxgJSGOUQ/view?usp=drivesdk</t>
  </si>
  <si>
    <t xml:space="preserve">Dr. Vrundaben Shah</t>
  </si>
  <si>
    <t xml:space="preserve"> Ms. Jenish Bhagat</t>
  </si>
  <si>
    <t xml:space="preserve">Community Pharmacy &amp; Management – Theory</t>
  </si>
  <si>
    <t>2526ECD0467</t>
  </si>
  <si>
    <t>177LhNaMLSPHJMOa5I32Z2C8awywzrW3Y</t>
  </si>
  <si>
    <t>https://drive.google.com/file/d/177LhNaMLSPHJMOa5I32Z2C8awywzrW3Y/view?usp=drivesdk</t>
  </si>
  <si>
    <t xml:space="preserve">Ms. Rasana Yadav </t>
  </si>
  <si>
    <t xml:space="preserve">Ms. Soniya Yadav</t>
  </si>
  <si>
    <t xml:space="preserve">Pharmacotherapeutics – Theory</t>
  </si>
  <si>
    <t>2526ECD0468</t>
  </si>
  <si>
    <t>14vAAYceRHXsXE6HZIHI-KB-ntVunVT8b</t>
  </si>
  <si>
    <t>https://drive.google.com/file/d/14vAAYceRHXsXE6HZIHI-KB-ntVunVT8b/view?usp=drivesdk</t>
  </si>
  <si>
    <t xml:space="preserve">Ms. Srushti Shah </t>
  </si>
  <si>
    <t xml:space="preserve">Ms. Vishva Patel </t>
  </si>
  <si>
    <t xml:space="preserve">Hospital &amp; Clinical Pharmacy – Theory</t>
  </si>
  <si>
    <t>2526ECD0469</t>
  </si>
  <si>
    <t>1wcLOrmkHORoFVytxRv78yqDEh1-IRszk</t>
  </si>
  <si>
    <t>https://drive.google.com/file/d/1wcLOrmkHORoFVytxRv78yqDEh1-IRszk/view?usp=drivesdk</t>
  </si>
  <si>
    <t xml:space="preserve">PIA AYurveda</t>
  </si>
  <si>
    <t xml:space="preserve">Dr Narendra </t>
  </si>
  <si>
    <t xml:space="preserve">Dr Tanjila</t>
  </si>
  <si>
    <t>2526ECD0483</t>
  </si>
  <si>
    <t>1wJRTRCW1LoXt98bNM8UwDW11DnzhbzPO</t>
  </si>
  <si>
    <t>https://drive.google.com/file/d/1wJRTRCW1LoXt98bNM8UwDW11DnzhbzPO/view?usp=drivesdk</t>
  </si>
  <si>
    <t xml:space="preserve">Document successfully created; Document successfully merged; PDF created; Manually run by nirmita.patel27183@paruluniversity.ac.in; Timestamp: Apr 30 2026 12:51 AM</t>
  </si>
  <si>
    <t xml:space="preserve">Dr. Aswini Patil</t>
  </si>
  <si>
    <t xml:space="preserve">Dr Veena</t>
  </si>
  <si>
    <t>12hl2xwrwaoK7CiOJqdiJJcSSVfokBPuz</t>
  </si>
  <si>
    <t>https://drive.google.com/file/d/12hl2xwrwaoK7CiOJqdiJJcSSVfokBPuz/view?usp=drivesdk</t>
  </si>
  <si>
    <t xml:space="preserve">Document successfully created; Document successfully merged; PDF created; Manually run by nirmita.patel27183@paruluniversity.ac.in; Timestamp: Apr 30 2026 12:52 AM</t>
  </si>
  <si>
    <t xml:space="preserve">Dr. Mahadevi B</t>
  </si>
  <si>
    <t xml:space="preserve">Dr Parth Akhani</t>
  </si>
  <si>
    <t xml:space="preserve">Dravyaguna Vigyan paper 2</t>
  </si>
  <si>
    <t>2526ECD0486</t>
  </si>
  <si>
    <t>1rhVMIyKU6O-vQcCLqOX4wfcUkh-5JEP1</t>
  </si>
  <si>
    <t>https://drive.google.com/file/d/1rhVMIyKU6O-vQcCLqOX4wfcUkh-5JEP1/view?usp=drivesdk</t>
  </si>
  <si>
    <t xml:space="preserve">Dr. POONAM BHOJAK</t>
  </si>
  <si>
    <t xml:space="preserve">Dr. HARISANKAR K T</t>
  </si>
  <si>
    <t xml:space="preserve">Agad Tantra evam Vidhi Vaidyaka part B</t>
  </si>
  <si>
    <t>2526ECD0488</t>
  </si>
  <si>
    <t>12pvl_0BQ5o35MlgWgNYJuVK8IbjAIjcf</t>
  </si>
  <si>
    <t>https://drive.google.com/file/d/12pvl_0BQ5o35MlgWgNYJuVK8IbjAIjcf/view?usp=drivesdk</t>
  </si>
  <si>
    <t xml:space="preserve">Dr Mrunal </t>
  </si>
  <si>
    <t xml:space="preserve">Dr Akshatha K </t>
  </si>
  <si>
    <t xml:space="preserve">Roga Nidan evam Vikriti Vigyan Paper 1</t>
  </si>
  <si>
    <t>2526ECD0489</t>
  </si>
  <si>
    <t>1VR-iHyImKnoS0BJM9Fk0O5fN1L1rXoAi</t>
  </si>
  <si>
    <t>https://drive.google.com/file/d/1VR-iHyImKnoS0BJM9Fk0O5fN1L1rXoAi/view?usp=drivesdk</t>
  </si>
  <si>
    <t xml:space="preserve">Document successfully created; Document successfully merged; PDF created; Manually run by nirmita.patel27183@paruluniversity.ac.in; Timestamp: Apr 30 2026 12:53 AM</t>
  </si>
  <si>
    <t xml:space="preserve">Dr. Vasuprada</t>
  </si>
  <si>
    <t xml:space="preserve">Dr. MAULI VAISHNAV</t>
  </si>
  <si>
    <t xml:space="preserve">Prasuti Tantra evam Stree Roga Paper 2</t>
  </si>
  <si>
    <t>2526ECD0494</t>
  </si>
  <si>
    <t>1_krHK6SaGeCg5mvPyopXI775zDhKu0Tn</t>
  </si>
  <si>
    <t>https://drive.google.com/file/d/1_krHK6SaGeCg5mvPyopXI775zDhKu0Tn/view?usp=drivesdk</t>
  </si>
  <si>
    <t>PIPR</t>
  </si>
  <si>
    <t xml:space="preserve">Dr. Tularam Barot</t>
  </si>
  <si>
    <t xml:space="preserve">Ms Swathi G</t>
  </si>
  <si>
    <t xml:space="preserve">Biopharmaceutics &amp; Pharmacokinetics</t>
  </si>
  <si>
    <t>1YVHFyliDEGRe-vNTVP0Wt8BC37xF1omL</t>
  </si>
  <si>
    <t>https://drive.google.com/file/d/1YVHFyliDEGRe-vNTVP0Wt8BC37xF1omL/view?usp=drivesdk</t>
  </si>
  <si>
    <t xml:space="preserve">Document successfully created; Document successfully merged; PDF created; Manually run by kinnari.mishra12751@paruluniversity.ac.in; Timestamp: May 5 2026 4:48 AM</t>
  </si>
  <si>
    <t xml:space="preserve">Dr. Mohit Buddhadev</t>
  </si>
  <si>
    <t xml:space="preserve">Dr. Priyal Patel</t>
  </si>
  <si>
    <t xml:space="preserve">Clinical Research</t>
  </si>
  <si>
    <t>1VDw44rE9HXpXw0KK2zzyKeE_swS-ShiU</t>
  </si>
  <si>
    <t>https://drive.google.com/file/d/1VDw44rE9HXpXw0KK2zzyKeE_swS-ShiU/view?usp=drivesdk</t>
  </si>
  <si>
    <t xml:space="preserve">Dr. S.P Nayak</t>
  </si>
  <si>
    <t xml:space="preserve">Dr. John Kirubakaran</t>
  </si>
  <si>
    <t xml:space="preserve">Clinical Pharmacokinetics &amp; Pharmacotherapeutic Drug Monitoring</t>
  </si>
  <si>
    <t>1ciSm0S55F2CP6xM9kGhMfiSNJU_GWvFO</t>
  </si>
  <si>
    <t>https://drive.google.com/file/d/1ciSm0S55F2CP6xM9kGhMfiSNJU_GWvFO/view?usp=drivesdk</t>
  </si>
  <si>
    <t xml:space="preserve">Dr. Bipin Shaji</t>
  </si>
  <si>
    <t>1NuzxpEn3l_LZhSXU-gEkwOuY913Wf3qK</t>
  </si>
  <si>
    <t>https://drive.google.com/file/d/1NuzxpEn3l_LZhSXU-gEkwOuY913Wf3qK/view?usp=drivesdk</t>
  </si>
  <si>
    <t xml:space="preserve">Document successfully created; Document successfully merged; PDF created; Manually run by kinnari.mishra12751@paruluniversity.ac.in; Timestamp: May 5 2026 4:49 AM</t>
  </si>
  <si>
    <t xml:space="preserve">Name to be Printed on certificate 3</t>
  </si>
  <si>
    <t xml:space="preserve">Merged Doc ID - 3 E - content Certificate</t>
  </si>
  <si>
    <t xml:space="preserve">Merged Doc URL - 3 E - content Certificate</t>
  </si>
  <si>
    <t xml:space="preserve">Link to merged Doc - 3 E - content Certificate</t>
  </si>
  <si>
    <t xml:space="preserve">Document Merge Status - 3 E - content Certificate</t>
  </si>
  <si>
    <t xml:space="preserve">Specialization - Cyber Security and Forensics - I</t>
  </si>
  <si>
    <t>2526ECD0164</t>
  </si>
  <si>
    <t>1a-uOa9x9yXzP0J7iuLZMYddyYrHmxRr_</t>
  </si>
  <si>
    <t>https://drive.google.com/file/d/1a-uOa9x9yXzP0J7iuLZMYddyYrHmxRr_/view?usp=drivesdk</t>
  </si>
  <si>
    <t xml:space="preserve">Document successfully created; Document successfully merged; PDF created; Manually run by nirmita.patel27183@paruluniversity.ac.in; Timestamp: Apr 24 2026 3:44 AM</t>
  </si>
  <si>
    <t xml:space="preserve">Ms. Renuka Parmar</t>
  </si>
  <si>
    <t xml:space="preserve">Mr. Gaurav Kumar</t>
  </si>
  <si>
    <t xml:space="preserve">Ms. Priya Soni</t>
  </si>
  <si>
    <t xml:space="preserve">Specialization - Full Stack Web Development - I</t>
  </si>
  <si>
    <t>2526ECD0165</t>
  </si>
  <si>
    <t>1rI8d6Poibl3WYDKH_BzLSCMMomf1ztqu</t>
  </si>
  <si>
    <t>https://drive.google.com/file/d/1rI8d6Poibl3WYDKH_BzLSCMMomf1ztqu/view?usp=drivesdk</t>
  </si>
  <si>
    <t xml:space="preserve">Mr. Satish Chauhan</t>
  </si>
  <si>
    <t xml:space="preserve">Mr. Meet Soni </t>
  </si>
  <si>
    <t xml:space="preserve">Dr. Shubhrajyoti Kundu</t>
  </si>
  <si>
    <t xml:space="preserve">Electrical and Electronics Engineering</t>
  </si>
  <si>
    <t>2526ECD0166</t>
  </si>
  <si>
    <t>1n16mhGgL5hDAtQ6qFzxI9NFNfQykOU-X</t>
  </si>
  <si>
    <t>https://drive.google.com/file/d/1n16mhGgL5hDAtQ6qFzxI9NFNfQykOU-X/view?usp=drivesdk</t>
  </si>
  <si>
    <t xml:space="preserve">Document successfully created; Document successfully merged; PDF created; Manually run by nirmita.patel27183@paruluniversity.ac.in; Timestamp: Apr 24 2026 4:33 AM</t>
  </si>
  <si>
    <t xml:space="preserve">Dr. Kartik Pandya</t>
  </si>
  <si>
    <t xml:space="preserve">Mr. Mahit Jain</t>
  </si>
  <si>
    <t xml:space="preserve">Basic Electrical Engineering</t>
  </si>
  <si>
    <t>2526ECD0167</t>
  </si>
  <si>
    <t>1jPavbgFDMvDUXjvBkZi9V70kg1vXfd-Z</t>
  </si>
  <si>
    <t>https://drive.google.com/file/d/1jPavbgFDMvDUXjvBkZi9V70kg1vXfd-Z/view?usp=drivesdk</t>
  </si>
  <si>
    <t xml:space="preserve">Mr. Ankitsinh Zala</t>
  </si>
  <si>
    <t xml:space="preserve"> Ms. Divya Garg</t>
  </si>
  <si>
    <t xml:space="preserve">Ms. Niti Shah</t>
  </si>
  <si>
    <t>CVPDE</t>
  </si>
  <si>
    <t>2526ECD0168</t>
  </si>
  <si>
    <t>1DeMyC0OPH72maWPEeiYaheKsHDVIaxVk</t>
  </si>
  <si>
    <t>https://drive.google.com/file/d/1DeMyC0OPH72maWPEeiYaheKsHDVIaxVk/view?usp=drivesdk</t>
  </si>
  <si>
    <t xml:space="preserve">Mr. Purvesh Valanad</t>
  </si>
  <si>
    <t xml:space="preserve"> Mr.  Mujahid Mirchiwala</t>
  </si>
  <si>
    <t xml:space="preserve"> Mr. Gaurav Sahu</t>
  </si>
  <si>
    <t xml:space="preserve">PC-1 (D.C Circuit)</t>
  </si>
  <si>
    <t>2526ECD0205</t>
  </si>
  <si>
    <t>1bR7N2h-ig_cWAOuLrsIQetSxxCKb-0lH</t>
  </si>
  <si>
    <t>https://drive.google.com/file/d/1bR7N2h-ig_cWAOuLrsIQetSxxCKb-0lH/view?usp=drivesdk</t>
  </si>
  <si>
    <t xml:space="preserve">Document successfully created; Document successfully merged; PDF created; Manually run by nirmita.patel27183@paruluniversity.ac.in; Timestamp: Apr 24 2026 5:15 AM</t>
  </si>
  <si>
    <t xml:space="preserve">Mr. Mayank Vyas</t>
  </si>
  <si>
    <t xml:space="preserve">Mr.  Ankit Patel </t>
  </si>
  <si>
    <t xml:space="preserve">Mr.  Nishant Hadiya</t>
  </si>
  <si>
    <t xml:space="preserve">Introduction to Electrical Safety &amp; Management</t>
  </si>
  <si>
    <t>2526ECD0206</t>
  </si>
  <si>
    <t>1CUCNL_PHH9-S4BWwksdXE3P4KVcHkKVb</t>
  </si>
  <si>
    <t>https://drive.google.com/file/d/1CUCNL_PHH9-S4BWwksdXE3P4KVcHkKVb/view?usp=drivesdk</t>
  </si>
  <si>
    <t xml:space="preserve">Document successfully created; Document successfully merged; PDF created; Manually run by nirmita.patel27183@paruluniversity.ac.in; Timestamp: Apr 24 2026 5:16 AM</t>
  </si>
  <si>
    <t xml:space="preserve">Ms. Hetal Prajapati</t>
  </si>
  <si>
    <t xml:space="preserve"> Mr. Pavez Vasovala </t>
  </si>
  <si>
    <t xml:space="preserve">Fundamental of Electrical Engineering</t>
  </si>
  <si>
    <t>2526ECD0207</t>
  </si>
  <si>
    <t>1G8gCyX6grkmKZemfv_RVm6TE-UgCgDkk</t>
  </si>
  <si>
    <t>https://drive.google.com/file/d/1G8gCyX6grkmKZemfv_RVm6TE-UgCgDkk/view?usp=drivesdk</t>
  </si>
  <si>
    <t xml:space="preserve">Mr. Krunal Kayasth</t>
  </si>
  <si>
    <t xml:space="preserve">Mr.Jayesh Mahant</t>
  </si>
  <si>
    <t xml:space="preserve">Mr.Manthan Thakkar</t>
  </si>
  <si>
    <t xml:space="preserve">Engineering Graphics </t>
  </si>
  <si>
    <t>2526ECD0208</t>
  </si>
  <si>
    <t>1VJv8AVyaWSRQT6z4W-aHMhL3PYvBc-oD</t>
  </si>
  <si>
    <t>https://drive.google.com/file/d/1VJv8AVyaWSRQT6z4W-aHMhL3PYvBc-oD/view?usp=drivesdk</t>
  </si>
  <si>
    <t xml:space="preserve">Ms. Bhumi Bhoi</t>
  </si>
  <si>
    <t xml:space="preserve">Mr. Piyush Mali</t>
  </si>
  <si>
    <t xml:space="preserve">Ms. Shreen Gazala</t>
  </si>
  <si>
    <t xml:space="preserve">Internet Of Things</t>
  </si>
  <si>
    <t>2526ECD0209</t>
  </si>
  <si>
    <t>19EbhFU4xeVhKDZuDss6HbY45LQp6cTKE</t>
  </si>
  <si>
    <t>https://drive.google.com/file/d/19EbhFU4xeVhKDZuDss6HbY45LQp6cTKE/view?usp=drivesdk</t>
  </si>
  <si>
    <t xml:space="preserve">Mr. Ashish Pandey</t>
  </si>
  <si>
    <t xml:space="preserve">Ms. Prachi Patel</t>
  </si>
  <si>
    <t xml:space="preserve">Mr. Ravi Bhardwaj</t>
  </si>
  <si>
    <t xml:space="preserve">Information Security</t>
  </si>
  <si>
    <t>2526ECD0210</t>
  </si>
  <si>
    <t>1KrDK0eUPAgRnA0dBA63dtPfOMqY7BgyZ</t>
  </si>
  <si>
    <t>https://drive.google.com/file/d/1KrDK0eUPAgRnA0dBA63dtPfOMqY7BgyZ/view?usp=drivesdk</t>
  </si>
  <si>
    <t xml:space="preserve">Mr. Kausal kalariya</t>
  </si>
  <si>
    <t xml:space="preserve">Ms. Bipasha Mandal</t>
  </si>
  <si>
    <t xml:space="preserve">Ms. Hemali Nimavat</t>
  </si>
  <si>
    <t xml:space="preserve">operating system </t>
  </si>
  <si>
    <t>2526ECD0211</t>
  </si>
  <si>
    <t>1FgqU60t75_ag7Z53dxLp2NnBG1_MwSqP</t>
  </si>
  <si>
    <t>https://drive.google.com/file/d/1FgqU60t75_ag7Z53dxLp2NnBG1_MwSqP/view?usp=drivesdk</t>
  </si>
  <si>
    <t xml:space="preserve">Ms. Mansi Rana</t>
  </si>
  <si>
    <t xml:space="preserve">Ms. Kavita Parmar</t>
  </si>
  <si>
    <t xml:space="preserve">Mr. Bankim Parmar</t>
  </si>
  <si>
    <t xml:space="preserve">Object Oriented Programming with C++</t>
  </si>
  <si>
    <t>2526ECD0212</t>
  </si>
  <si>
    <t>1fbJEegb0HZbuGNXG7EDtpErMg_dIOHrx</t>
  </si>
  <si>
    <t>https://drive.google.com/file/d/1fbJEegb0HZbuGNXG7EDtpErMg_dIOHrx/view?usp=drivesdk</t>
  </si>
  <si>
    <t xml:space="preserve">Document successfully created; Document successfully merged; PDF created; Manually run by nirmita.patel27183@paruluniversity.ac.in; Timestamp: Apr 24 2026 5:17 AM</t>
  </si>
  <si>
    <t xml:space="preserve">Ms. DEVANSHI THAKKAR</t>
  </si>
  <si>
    <t xml:space="preserve">Ms. AMITA TAILOR</t>
  </si>
  <si>
    <t xml:space="preserve">Ms. SHILPA KHANT</t>
  </si>
  <si>
    <t xml:space="preserve">Web Design and Development</t>
  </si>
  <si>
    <t>2526ECD0346</t>
  </si>
  <si>
    <t>1Ws3s5W7VEXtsUKLgVOWAuoc3GnLwF-zx</t>
  </si>
  <si>
    <t>https://drive.google.com/file/d/1Ws3s5W7VEXtsUKLgVOWAuoc3GnLwF-zx/view?usp=drivesdk</t>
  </si>
  <si>
    <t xml:space="preserve">Document successfully created; Document successfully merged; PDF created; Manually run by nirmita.patel27183@paruluniversity.ac.in; Timestamp: Apr 26 2026 11:47 PM</t>
  </si>
  <si>
    <t xml:space="preserve">Ms. VAIBHAVI PANDYA</t>
  </si>
  <si>
    <t xml:space="preserve">Ms. RIYA DESAI</t>
  </si>
  <si>
    <t xml:space="preserve">Mr.HARDIK KUMAR</t>
  </si>
  <si>
    <t xml:space="preserve">Data Structure </t>
  </si>
  <si>
    <t>2526ECD0347</t>
  </si>
  <si>
    <t>1EA3derEjWlT9vfMnCJzJX3Q-_hYUiaOY</t>
  </si>
  <si>
    <t>https://drive.google.com/file/d/1EA3derEjWlT9vfMnCJzJX3Q-_hYUiaOY/view?usp=drivesdk</t>
  </si>
  <si>
    <t xml:space="preserve">Ms. BHAVYA GAJIWALA</t>
  </si>
  <si>
    <t xml:space="preserve">Ms. KAVYA PRAJAPATI</t>
  </si>
  <si>
    <t xml:space="preserve">Ms. POONAM FALDU</t>
  </si>
  <si>
    <t xml:space="preserve">Computer Network</t>
  </si>
  <si>
    <t>2526ECD0348</t>
  </si>
  <si>
    <t>1hgvuw2wIiUg6VnB9OKISg3DhBcw7OgI9</t>
  </si>
  <si>
    <t>https://drive.google.com/file/d/1hgvuw2wIiUg6VnB9OKISg3DhBcw7OgI9/view?usp=drivesdk</t>
  </si>
  <si>
    <t xml:space="preserve">Document successfully created; Document successfully merged; PDF created; Manually run by nirmita.patel27183@paruluniversity.ac.in; Timestamp: Apr 26 2026 11:48 PM</t>
  </si>
  <si>
    <t xml:space="preserve">Ms. KALPANA PRAJAPATI</t>
  </si>
  <si>
    <t xml:space="preserve">Ms. DEVIKA KSHTRIYA </t>
  </si>
  <si>
    <t xml:space="preserve">Mr. VIJAY VASAIYA</t>
  </si>
  <si>
    <t xml:space="preserve">.Net Programming with C# </t>
  </si>
  <si>
    <t>2526ECD0349</t>
  </si>
  <si>
    <t>159BT_GO9SchY3qO-sK9fZg4H87gfmKd8</t>
  </si>
  <si>
    <t>https://drive.google.com/file/d/159BT_GO9SchY3qO-sK9fZg4H87gfmKd8/view?usp=drivesdk</t>
  </si>
  <si>
    <t xml:space="preserve">Ms. Vrunda patel</t>
  </si>
  <si>
    <t xml:space="preserve">Mr. Ankit Padariya, </t>
  </si>
  <si>
    <t xml:space="preserve">Mr. Suraj singh</t>
  </si>
  <si>
    <t>2526ECD0350</t>
  </si>
  <si>
    <t>1rXSdUT4GUYZNTp0vq7wUtTeIBlBSuTiH</t>
  </si>
  <si>
    <t>https://drive.google.com/file/d/1rXSdUT4GUYZNTp0vq7wUtTeIBlBSuTiH/view?usp=drivesdk</t>
  </si>
  <si>
    <t xml:space="preserve">Ms. Radhika Thakkar</t>
  </si>
  <si>
    <t xml:space="preserve">BK Soni</t>
  </si>
  <si>
    <t xml:space="preserve">Ms. Bhavya shah</t>
  </si>
  <si>
    <t>Java</t>
  </si>
  <si>
    <t>2526ECD0351</t>
  </si>
  <si>
    <t>1T8n7Xg44gpdLLBHQdBlAnBL9pCsC1hDr</t>
  </si>
  <si>
    <t>https://drive.google.com/file/d/1T8n7Xg44gpdLLBHQdBlAnBL9pCsC1hDr/view?usp=drivesdk</t>
  </si>
  <si>
    <t xml:space="preserve">Ms. Shivani Shelke</t>
  </si>
  <si>
    <t xml:space="preserve">Ms. Shivani Gupta</t>
  </si>
  <si>
    <t xml:space="preserve">Mr. Suraj Singh</t>
  </si>
  <si>
    <t xml:space="preserve">Data Communication Network</t>
  </si>
  <si>
    <t>2526ECD0352</t>
  </si>
  <si>
    <t>1LJepmKp35DQCv8_zMRng1cGA4WlpdqmY</t>
  </si>
  <si>
    <t>https://drive.google.com/file/d/1LJepmKp35DQCv8_zMRng1cGA4WlpdqmY/view?usp=drivesdk</t>
  </si>
  <si>
    <t xml:space="preserve">Dr. Hiral Shah</t>
  </si>
  <si>
    <t xml:space="preserve">Ms. Rachana S. Kumar</t>
  </si>
  <si>
    <t xml:space="preserve"> Mr. Harshrajsinh Rana</t>
  </si>
  <si>
    <t>Pharmaceutics</t>
  </si>
  <si>
    <t>2526ECD0353</t>
  </si>
  <si>
    <t>16qEIbqt9k8SYeiMrJ2rl8AYbgfK3MaUe</t>
  </si>
  <si>
    <t>https://drive.google.com/file/d/16qEIbqt9k8SYeiMrJ2rl8AYbgfK3MaUe/view?usp=drivesdk</t>
  </si>
  <si>
    <t xml:space="preserve">Document successfully created; Document successfully merged; PDF created; Manually run by nirmita.patel27183@paruluniversity.ac.in; Timestamp: Apr 27 2026 3:20 AM</t>
  </si>
  <si>
    <t xml:space="preserve">Ms. Tora Shah</t>
  </si>
  <si>
    <t xml:space="preserve">Ms. Bhargavi Mistry</t>
  </si>
  <si>
    <t xml:space="preserve">Ms. Krutika Agarwal</t>
  </si>
  <si>
    <t xml:space="preserve">Pharmaceutics –Theory</t>
  </si>
  <si>
    <t>2526ECD0354</t>
  </si>
  <si>
    <t>1ob18LxgMFgPdVwBxS5ujusyRVFmq-7L1</t>
  </si>
  <si>
    <t>https://drive.google.com/file/d/1ob18LxgMFgPdVwBxS5ujusyRVFmq-7L1/view?usp=drivesdk</t>
  </si>
  <si>
    <t xml:space="preserve">Mrs. Priyanka Patel</t>
  </si>
  <si>
    <t xml:space="preserve">Mr. Priyank Makwana</t>
  </si>
  <si>
    <t xml:space="preserve">Ms. Krishna Gohil</t>
  </si>
  <si>
    <t xml:space="preserve">Mathematics - I</t>
  </si>
  <si>
    <t>2526ECD405</t>
  </si>
  <si>
    <t>1lbETzF1tFEs_w8DSgGToTodeBlqUBv7e</t>
  </si>
  <si>
    <t>https://drive.google.com/file/d/1lbETzF1tFEs_w8DSgGToTodeBlqUBv7e/view?usp=drivesdk</t>
  </si>
  <si>
    <t xml:space="preserve">Document successfully created; Document successfully merged; PDF created; Manually run by nirmita.patel27183@paruluniversity.ac.in; Timestamp: Apr 28 2026 5:51 AM</t>
  </si>
  <si>
    <t>Physiotheraphy</t>
  </si>
  <si>
    <t>Dr.Pooja</t>
  </si>
  <si>
    <t>Dr.Vrunda</t>
  </si>
  <si>
    <t>Dr.Siddharth</t>
  </si>
  <si>
    <t xml:space="preserve">Biomechanics and Kinesiology-I</t>
  </si>
  <si>
    <t>2526ECD426</t>
  </si>
  <si>
    <t>1hk8ncDn6Tx-r6YVjbkYR7979omgRUSQy</t>
  </si>
  <si>
    <t>https://drive.google.com/file/d/1hk8ncDn6Tx-r6YVjbkYR7979omgRUSQy/view?usp=drivesdk</t>
  </si>
  <si>
    <t xml:space="preserve">Dr.Pooja-Dr.Vrunda-Dr.Siddharth-Biomechanics and Kinesiology-I</t>
  </si>
  <si>
    <t xml:space="preserve">Document successfully created; Document successfully merged; PDF created; Manually run by nirmita.patel27183@paruluniversity.ac.in; Timestamp: Apr 29 2026 1:49 AM</t>
  </si>
  <si>
    <t xml:space="preserve">Mr. Bhavik Thacker</t>
  </si>
  <si>
    <t xml:space="preserve">Ms. Sonal Poojara</t>
  </si>
  <si>
    <t xml:space="preserve">Ms. Vaishali Nathwani</t>
  </si>
  <si>
    <t xml:space="preserve">Applied physics</t>
  </si>
  <si>
    <t>1-eUfuFn2U8B6TGyG3J_oWOckIEK6CduO</t>
  </si>
  <si>
    <t>https://drive.google.com/file/d/1-eUfuFn2U8B6TGyG3J_oWOckIEK6CduO/view?usp=drivesdk</t>
  </si>
  <si>
    <t xml:space="preserve">Mr. Bhavik Thacker-Ms. Sonal Poojara-Ms. Vaishali Nathwani-Applied physics</t>
  </si>
  <si>
    <t xml:space="preserve">Document successfully created; Document successfully merged; PDF created; Manually run by nirmita.patel27183@paruluniversity.ac.in; Timestamp: Apr 29 2026 2:16 AM</t>
  </si>
  <si>
    <t xml:space="preserve">Dr Ravi Joshi</t>
  </si>
  <si>
    <t xml:space="preserve">Dr.Amarjeet Kaur</t>
  </si>
  <si>
    <t xml:space="preserve">Dr.Mital Kanani</t>
  </si>
  <si>
    <t xml:space="preserve">Rachana Sharir (Human Anatomy) Paper 1</t>
  </si>
  <si>
    <t>2526ECD0460</t>
  </si>
  <si>
    <t>1gFXlB1tEIudrMbPxVQDFEG3rMXP-se82</t>
  </si>
  <si>
    <t>https://drive.google.com/file/d/1gFXlB1tEIudrMbPxVQDFEG3rMXP-se82/view?usp=drivesdk</t>
  </si>
  <si>
    <t xml:space="preserve">Dr Ravi Joshi-Dr.Amarjeet Kaur-Dr.Mital Kanani-Rachana Sharir (Human Anatomy) Paper 1</t>
  </si>
  <si>
    <t xml:space="preserve">Document successfully created; Document successfully merged; PDF created; Manually run by nirmita.patel27183@paruluniversity.ac.in; Timestamp: Apr 29 2026 4:09 AM</t>
  </si>
  <si>
    <t xml:space="preserve">Dr. Nikita P</t>
  </si>
  <si>
    <t xml:space="preserve">Dr. Kruti P</t>
  </si>
  <si>
    <t xml:space="preserve">Dr.Smita Rai</t>
  </si>
  <si>
    <t xml:space="preserve">Dravyaguna Vigyan paper 1</t>
  </si>
  <si>
    <t>2526ECD0461</t>
  </si>
  <si>
    <t>1DEDWDlXu18IuPApo8jjYpqKeNz6eNpff</t>
  </si>
  <si>
    <t>https://drive.google.com/file/d/1DEDWDlXu18IuPApo8jjYpqKeNz6eNpff/view?usp=drivesdk</t>
  </si>
  <si>
    <t xml:space="preserve">Dr. Nikita P-Dr. Kruti P-Dr.Smita Rai-Dravyaguna Vigyan paper 1</t>
  </si>
  <si>
    <t xml:space="preserve">Dr. Palak C</t>
  </si>
  <si>
    <t xml:space="preserve">Dr. Jignesha P</t>
  </si>
  <si>
    <t xml:space="preserve">Dr. Milind C</t>
  </si>
  <si>
    <t xml:space="preserve">Rasashastra evam Bhaishajyakalpana paper 1</t>
  </si>
  <si>
    <t>2526ECD0462</t>
  </si>
  <si>
    <t>1fZiljGMmRqmPperHUIzG1NAFD138oohm</t>
  </si>
  <si>
    <t>https://drive.google.com/file/d/1fZiljGMmRqmPperHUIzG1NAFD138oohm/view?usp=drivesdk</t>
  </si>
  <si>
    <t xml:space="preserve">Dr. Palak C-Dr. Jignesha P-Dr. Milind C-Rasashastra evam Bhaishajyakalpana paper 1</t>
  </si>
  <si>
    <t xml:space="preserve">Dr. Reshma Shaji</t>
  </si>
  <si>
    <t xml:space="preserve">Dr. Vivek M</t>
  </si>
  <si>
    <t xml:space="preserve">Dr. Archana Panchaksharimath</t>
  </si>
  <si>
    <t xml:space="preserve">Swasthavritta evam Yoga Paper 2</t>
  </si>
  <si>
    <t>2526ECD0463</t>
  </si>
  <si>
    <t>1xMVFQp3Ot2sIpG7QO4G0Mf88iql6aSfH</t>
  </si>
  <si>
    <t>https://drive.google.com/file/d/1xMVFQp3Ot2sIpG7QO4G0Mf88iql6aSfH/view?usp=drivesdk</t>
  </si>
  <si>
    <t xml:space="preserve">Dr. Reshma Shaji-Dr. Vivek M-Dr. Archana Panchaksharimath-Swasthavritta evam Yoga Paper 2</t>
  </si>
  <si>
    <t xml:space="preserve"> Dr. Sathish Mittapalli </t>
  </si>
  <si>
    <t xml:space="preserve"> Mr. Rahul Barot </t>
  </si>
  <si>
    <t xml:space="preserve">Ms. Janavi Raut</t>
  </si>
  <si>
    <t xml:space="preserve">Pharmaceutical Organic Chemistry</t>
  </si>
  <si>
    <t>2526ECD0464</t>
  </si>
  <si>
    <t>15uPXqjR6KUIUTm3I2O3ZPoZeynDnSknB</t>
  </si>
  <si>
    <t>https://drive.google.com/file/d/15uPXqjR6KUIUTm3I2O3ZPoZeynDnSknB/view?usp=drivesdk</t>
  </si>
  <si>
    <t xml:space="preserve"> Dr. Sathish Mittapalli - Mr. Rahul Barot -Ms. Janavi Raut-Pharmaceutical Organic Chemistry</t>
  </si>
  <si>
    <t xml:space="preserve">Document successfully created; Document successfully merged; PDF created; Manually run by nirmita.patel27183@paruluniversity.ac.in; Timestamp: Apr 29 2026 4:54 AM</t>
  </si>
  <si>
    <t>JNHMC</t>
  </si>
  <si>
    <t xml:space="preserve">Dr Uma Sahoo</t>
  </si>
  <si>
    <t xml:space="preserve">Dr Upma Raval</t>
  </si>
  <si>
    <t xml:space="preserve">Dr Vinit Tapas</t>
  </si>
  <si>
    <t xml:space="preserve">Physiology and Biochemistry</t>
  </si>
  <si>
    <t>2526ECD0476</t>
  </si>
  <si>
    <t>1M6izG8C5-QEOoRkc_hnG5AaR83wD0P9U</t>
  </si>
  <si>
    <t>https://drive.google.com/file/d/1M6izG8C5-QEOoRkc_hnG5AaR83wD0P9U/view?usp=drivesdk</t>
  </si>
  <si>
    <t xml:space="preserve">Dr Uma Sahoo-Dr Upma Raval-Dr Vinit Tapas-Physiology and Biochemistry</t>
  </si>
  <si>
    <t xml:space="preserve">Document successfully created; Document successfully merged; PDF created; Manually run by nirmita.patel27183@paruluniversity.ac.in; Timestamp: Apr 30 2026 12:18 AM</t>
  </si>
  <si>
    <t xml:space="preserve">Dr Naresh Bhusara </t>
  </si>
  <si>
    <t xml:space="preserve">Dr Nayana Patel</t>
  </si>
  <si>
    <t xml:space="preserve">Dr Neelima Sharan</t>
  </si>
  <si>
    <t xml:space="preserve">Homoeopathic Pharmacy</t>
  </si>
  <si>
    <t>2526ECD0477</t>
  </si>
  <si>
    <t>11j89Qw09EJEeOZyvALs9Xv1ptkmkpUSA</t>
  </si>
  <si>
    <t>https://drive.google.com/file/d/11j89Qw09EJEeOZyvALs9Xv1ptkmkpUSA/view?usp=drivesdk</t>
  </si>
  <si>
    <t xml:space="preserve">Dr Naresh Bhusara -Dr Nayana Patel-Dr Neelima Sharan-Homoeopathic Pharmacy</t>
  </si>
  <si>
    <t xml:space="preserve">Dr Vani Oza</t>
  </si>
  <si>
    <t xml:space="preserve">Dr Archana Tegwal</t>
  </si>
  <si>
    <t xml:space="preserve">Dr Preeti Mulani</t>
  </si>
  <si>
    <t xml:space="preserve">Homoeopathic Materia Medica</t>
  </si>
  <si>
    <t>2526ECD0478</t>
  </si>
  <si>
    <t>1wKQb5Q7TE4GdkRIHVtkcAAhShCemuchs</t>
  </si>
  <si>
    <t>https://drive.google.com/file/d/1wKQb5Q7TE4GdkRIHVtkcAAhShCemuchs/view?usp=drivesdk</t>
  </si>
  <si>
    <t xml:space="preserve">Dr Vani Oza-Dr Archana Tegwal-Dr Preeti Mulani-Homoeopathic Materia Medica</t>
  </si>
  <si>
    <t xml:space="preserve">Dr Pragya Srivastva</t>
  </si>
  <si>
    <t xml:space="preserve">Dr Preeti Pathak </t>
  </si>
  <si>
    <t xml:space="preserve">Dr Amar Thakkar</t>
  </si>
  <si>
    <t xml:space="preserve">Pathology and Microbiology</t>
  </si>
  <si>
    <t>2526ECD0479</t>
  </si>
  <si>
    <t>1v9Hg3aWaaZOvBf9v56V2e6SmfQCqlmpy</t>
  </si>
  <si>
    <t>https://drive.google.com/file/d/1v9Hg3aWaaZOvBf9v56V2e6SmfQCqlmpy/view?usp=drivesdk</t>
  </si>
  <si>
    <t xml:space="preserve">Dr Pragya Srivastva-Dr Preeti Pathak -Dr Amar Thakkar-Pathology and Microbiology</t>
  </si>
  <si>
    <t xml:space="preserve">Dr Smit Dad</t>
  </si>
  <si>
    <t xml:space="preserve">Dr Astha Rawal</t>
  </si>
  <si>
    <t xml:space="preserve">Dr Dhwani Thakkar</t>
  </si>
  <si>
    <t xml:space="preserve">Practice of Medicine</t>
  </si>
  <si>
    <t>2526ECD0480</t>
  </si>
  <si>
    <t>1Se1mSgc8xLPMTV2wTqoThUvoi3DTWzzc</t>
  </si>
  <si>
    <t>https://drive.google.com/file/d/1Se1mSgc8xLPMTV2wTqoThUvoi3DTWzzc/view?usp=drivesdk</t>
  </si>
  <si>
    <t xml:space="preserve">Dr Smit Dad-Dr Astha Rawal-Dr Dhwani Thakkar-Practice of Medicine</t>
  </si>
  <si>
    <t xml:space="preserve">Dr. Aparna Bagul</t>
  </si>
  <si>
    <t xml:space="preserve">Dr Rajalekshmi R</t>
  </si>
  <si>
    <t xml:space="preserve">Dr Hari Sankar M S</t>
  </si>
  <si>
    <t xml:space="preserve">Swasthavritta evam Yoga Paper 1</t>
  </si>
  <si>
    <t>2526ECD0481</t>
  </si>
  <si>
    <t>1eIaPd1DbD5cDdCcKcmHbHvfr3bQmpAgI</t>
  </si>
  <si>
    <t>https://drive.google.com/file/d/1eIaPd1DbD5cDdCcKcmHbHvfr3bQmpAgI/view?usp=drivesdk</t>
  </si>
  <si>
    <t xml:space="preserve">Dr. Aparna Bagul-Dr Rajalekshmi R-Dr Hari Sankar M S-Swasthavritta evam Yoga Paper 1</t>
  </si>
  <si>
    <t xml:space="preserve">Document successfully created; Document successfully merged; PDF created; Manually run by nirmita.patel27183@paruluniversity.ac.in; Timestamp: Apr 30 2026 12:58 AM</t>
  </si>
  <si>
    <t xml:space="preserve">Dr. DIPEEKA SURESH SURWASE</t>
  </si>
  <si>
    <t xml:space="preserve">Dr. Jaiminikumari Mahendrasinh Rathod</t>
  </si>
  <si>
    <t xml:space="preserve">Dr. Nishant Nareshbhai Patel</t>
  </si>
  <si>
    <t xml:space="preserve">Kayachikitsa including Manasa Roga, Rasayana and Vajikarana</t>
  </si>
  <si>
    <t>2526ECD0482</t>
  </si>
  <si>
    <t>1FrexCoeeLyrHTJh5HaDFPQltH5fdrX1p</t>
  </si>
  <si>
    <t>https://drive.google.com/file/d/1FrexCoeeLyrHTJh5HaDFPQltH5fdrX1p/view?usp=drivesdk</t>
  </si>
  <si>
    <t xml:space="preserve">Dr. DIPEEKA SURESH SURWASE-Dr. Jaiminikumari Mahendrasinh Rathod-Dr. Nishant Nareshbhai Patel-Kayachikitsa including Manasa Roga, Rasayana and Vajikarana</t>
  </si>
  <si>
    <t xml:space="preserve">Dr Kushal Chhotu Chaudhari</t>
  </si>
  <si>
    <t xml:space="preserve">Dr. PARIKSHIT RAMAKANT SHIRODE </t>
  </si>
  <si>
    <t xml:space="preserve">Dr. PRAJAPATI HARSHADKUMAR</t>
  </si>
  <si>
    <t xml:space="preserve">Shalya Tantra Paper 2</t>
  </si>
  <si>
    <t>2526ECD0491</t>
  </si>
  <si>
    <t>1tULN0D6xdeZ0BTirMYeZurSb-35ZpMWd</t>
  </si>
  <si>
    <t>https://drive.google.com/file/d/1tULN0D6xdeZ0BTirMYeZurSb-35ZpMWd/view?usp=drivesdk</t>
  </si>
  <si>
    <t xml:space="preserve">Dr Kushal Chhotu Chaudhari-Dr. PARIKSHIT RAMAKANT SHIRODE -Dr. PRAJAPATI HARSHADKUMAR-Shalya Tantra Paper 2</t>
  </si>
  <si>
    <t xml:space="preserve">Document successfully created; Document successfully merged; PDF created; Manually run by nirmita.patel27183@paruluniversity.ac.in; Timestamp: Apr 30 2026 5:07 AM</t>
  </si>
  <si>
    <t xml:space="preserve">Ms. Jalpa Zalawadia</t>
  </si>
  <si>
    <t xml:space="preserve">Dr. Sumit Das Lala</t>
  </si>
  <si>
    <t xml:space="preserve">Krishnamraju Putta</t>
  </si>
  <si>
    <t xml:space="preserve">Workshop and Manufacturing Practice</t>
  </si>
  <si>
    <t>1K3Kqc2E1p0OBawwtIPMCXZHZx6vYEPua</t>
  </si>
  <si>
    <t>https://drive.google.com/file/d/1K3Kqc2E1p0OBawwtIPMCXZHZx6vYEPua/view?usp=drivesdk</t>
  </si>
  <si>
    <t xml:space="preserve">Ms. Jalpa Zalawadia-Dr. Sumit Das Lala-Krishnamraju Putta-Workshop and Manufacturing Practice</t>
  </si>
  <si>
    <t xml:space="preserve">Document successfully created; Document successfully merged; PDF created; Manually run by nirmita.patel27183@paruluniversity.ac.in; Timestamp: Apr 30 2026 6:24 AM</t>
  </si>
  <si>
    <t xml:space="preserve">Mr. Vishal Jain</t>
  </si>
  <si>
    <t xml:space="preserve">Mr. Nishant Rajput</t>
  </si>
  <si>
    <t xml:space="preserve">Dr. Omprakash Bharti</t>
  </si>
  <si>
    <t xml:space="preserve">Elements of Thermal and Fluid Sciences</t>
  </si>
  <si>
    <t>1zWqsZU92kuhLz083PIBjXJWl6w9UGDTM</t>
  </si>
  <si>
    <t>https://drive.google.com/file/d/1zWqsZU92kuhLz083PIBjXJWl6w9UGDTM/view?usp=drivesdk</t>
  </si>
  <si>
    <t xml:space="preserve">Mr. Vishal Jain-Mr. Nishant Rajput-Dr. Omprakash Bharti-Elements of Thermal and Fluid Sciences</t>
  </si>
  <si>
    <t xml:space="preserve">Document successfully created; Document successfully merged; PDF created; Manually run by nirmita.patel27183@paruluniversity.ac.in; Timestamp: Apr 30 2026 6:26 AM</t>
  </si>
  <si>
    <t xml:space="preserve">Mr. Manan Shah </t>
  </si>
  <si>
    <t xml:space="preserve">Mr. Akash Shukla</t>
  </si>
  <si>
    <t xml:space="preserve">Mr. Hitesh Dave</t>
  </si>
  <si>
    <t xml:space="preserve">Engineering Graphics and Design</t>
  </si>
  <si>
    <t>1RdybXkklFW3HbqMA8AKFGGnMRZsalI0x</t>
  </si>
  <si>
    <t>https://drive.google.com/file/d/1RdybXkklFW3HbqMA8AKFGGnMRZsalI0x/view?usp=drivesdk</t>
  </si>
  <si>
    <t xml:space="preserve">Mr. Manan Shah -Mr. Akash Shukla-Mr. Hitesh Dave-Engineering Graphics and Design</t>
  </si>
  <si>
    <t xml:space="preserve">Mr. Kalmesh Parmar</t>
  </si>
  <si>
    <t xml:space="preserve">Ms. Swati Prajapati</t>
  </si>
  <si>
    <t xml:space="preserve">Elements of Mechanical Engineering</t>
  </si>
  <si>
    <t>1Qpkh7V28vWumf7dxUwEu-eF9NLCVIJ8E</t>
  </si>
  <si>
    <t>https://drive.google.com/file/d/1Qpkh7V28vWumf7dxUwEu-eF9NLCVIJ8E/view?usp=drivesdk</t>
  </si>
  <si>
    <t xml:space="preserve">Mr. Kalmesh Parmar-Mr. Vishal Jain-Ms. Swati Prajapati-Elements of Mechanical Engineering</t>
  </si>
  <si>
    <t>PIPTR</t>
  </si>
  <si>
    <t xml:space="preserve">Dr.Rushikesh Joshi</t>
  </si>
  <si>
    <t xml:space="preserve">Dr.Pooja Soni</t>
  </si>
  <si>
    <t xml:space="preserve">Dr.Tanvi Patel</t>
  </si>
  <si>
    <t xml:space="preserve">Biomedical Physics</t>
  </si>
  <si>
    <t>1puGdke6h1uPM_P2PZDipi-LWpucG4B4D</t>
  </si>
  <si>
    <t>https://drive.google.com/file/d/1puGdke6h1uPM_P2PZDipi-LWpucG4B4D/view?usp=drivesdk</t>
  </si>
  <si>
    <t xml:space="preserve">Dr.Rushikesh Joshi-Dr.Pooja Soni-Dr.Tanvi Patel-Biomedical Physics</t>
  </si>
  <si>
    <t xml:space="preserve">Document successfully created; Document successfully merged; PDF created; Manually run by kinnari.mishra12751@paruluniversity.ac.in; Timestamp: May 4 2026 4:11 AM</t>
  </si>
  <si>
    <t xml:space="preserve">Dr.Sandip Parekh</t>
  </si>
  <si>
    <t xml:space="preserve">Dr.Gopi Panchmatia</t>
  </si>
  <si>
    <t xml:space="preserve">Dr.Darpan Vanavi</t>
  </si>
  <si>
    <t>Electrotherapy-II</t>
  </si>
  <si>
    <t>1DxtGtfqKb0TJxGXIFjJlPRpEAviIaSz3</t>
  </si>
  <si>
    <t>https://drive.google.com/file/d/1DxtGtfqKb0TJxGXIFjJlPRpEAviIaSz3/view?usp=drivesdk</t>
  </si>
  <si>
    <t xml:space="preserve">Dr.Sandip Parekh-Dr.Gopi Panchmatia-Dr.Darpan Vanavi-Electrotherapy-II</t>
  </si>
  <si>
    <t xml:space="preserve">Dr.Monali Soni</t>
  </si>
  <si>
    <t xml:space="preserve">Dr.Payal Bhardva</t>
  </si>
  <si>
    <t xml:space="preserve">Dr.Parth Prajapati</t>
  </si>
  <si>
    <t xml:space="preserve">Exercise Therapy II</t>
  </si>
  <si>
    <t>1ra54wyU7EBWabC2HDdED01oTtce-nVXL</t>
  </si>
  <si>
    <t>https://drive.google.com/file/d/1ra54wyU7EBWabC2HDdED01oTtce-nVXL/view?usp=drivesdk</t>
  </si>
  <si>
    <t xml:space="preserve">Dr.Monali Soni-Dr.Payal Bhardva-Dr.Parth Prajapati-Exercise Therapy II</t>
  </si>
  <si>
    <t>PIAYR</t>
  </si>
  <si>
    <t xml:space="preserve">Dr. Sambu Surendran</t>
  </si>
  <si>
    <t xml:space="preserve">Dr. Sahil Patel</t>
  </si>
  <si>
    <t xml:space="preserve">Dr. Dhriti Khandelwal</t>
  </si>
  <si>
    <t xml:space="preserve">Shalya Tantra Paper 1</t>
  </si>
  <si>
    <t>1gVk0r3EMmebxgdRh0E25hgA5k5r07V_z</t>
  </si>
  <si>
    <t>https://drive.google.com/file/d/1gVk0r3EMmebxgdRh0E25hgA5k5r07V_z/view?usp=drivesdk</t>
  </si>
  <si>
    <t xml:space="preserve">Dr. Sambu Surendran-Dr. Sahil Patel-Dr. Dhriti Khandelwal-Shalya Tantra Paper 1</t>
  </si>
  <si>
    <t xml:space="preserve">Document successfully created; Document successfully merged; PDF created; Manually run by kinnari.mishra12751@paruluniversity.ac.in; Timestamp: May 6 2026 1:26 AM</t>
  </si>
  <si>
    <t>autocratn</t>
  </si>
  <si>
    <t>autocratp</t>
  </si>
  <si>
    <t>dataSheetName</t>
  </si>
  <si>
    <t xml:space="preserve">"Form Responses 1"</t>
  </si>
  <si>
    <t>v</t>
  </si>
  <si>
    <t>"5.1"</t>
  </si>
  <si>
    <t>dataSheetId</t>
  </si>
  <si>
    <t>"6.50628832E8"</t>
  </si>
  <si>
    <t>updateTime</t>
  </si>
  <si>
    <t>"1.777270430007E12"</t>
  </si>
  <si>
    <t>vp</t>
  </si>
  <si>
    <t>ssId</t>
  </si>
  <si>
    <t>"1XAffx2osIAaU40eNPfh9ozyEJ0Jv8Cac9e2lgVmJ_5Y"</t>
  </si>
  <si>
    <t xml:space="preserve">Job ID</t>
  </si>
  <si>
    <t xml:space="preserve">Job Name</t>
  </si>
  <si>
    <t xml:space="preserve">Template ID</t>
  </si>
  <si>
    <t xml:space="preserve">Data Sheet ID</t>
  </si>
  <si>
    <t xml:space="preserve">Header Row</t>
  </si>
  <si>
    <t xml:space="preserve">First Data Row</t>
  </si>
  <si>
    <t xml:space="preserve">File Name</t>
  </si>
  <si>
    <t xml:space="preserve">File Type</t>
  </si>
  <si>
    <t xml:space="preserve">Share As</t>
  </si>
  <si>
    <t>Folders</t>
  </si>
  <si>
    <t xml:space="preserve">Dynamic Folder Reference</t>
  </si>
  <si>
    <t>Conditionals</t>
  </si>
  <si>
    <t>Mode</t>
  </si>
  <si>
    <t xml:space="preserve">Append Breaks</t>
  </si>
  <si>
    <t>Tags</t>
  </si>
  <si>
    <t xml:space="preserve">Run On Time Trigger</t>
  </si>
  <si>
    <t xml:space="preserve">Time Trigger Frequency</t>
  </si>
  <si>
    <t xml:space="preserve">Run On Form Trigger</t>
  </si>
  <si>
    <t xml:space="preserve">Send Email And Share</t>
  </si>
  <si>
    <t xml:space="preserve">Email To</t>
  </si>
  <si>
    <t xml:space="preserve">Email CC</t>
  </si>
  <si>
    <t xml:space="preserve">Email BCC</t>
  </si>
  <si>
    <t xml:space="preserve">Email Reply To</t>
  </si>
  <si>
    <t xml:space="preserve">Email No Reply</t>
  </si>
  <si>
    <t xml:space="preserve">Email Subject</t>
  </si>
  <si>
    <t xml:space="preserve">Email Body</t>
  </si>
  <si>
    <t xml:space="preserve">Prevent Resharing</t>
  </si>
  <si>
    <t xml:space="preserve">Time Trigger Timestamp</t>
  </si>
  <si>
    <t xml:space="preserve">Form Trigger Timestamp</t>
  </si>
  <si>
    <t>_1777010583975</t>
  </si>
  <si>
    <t xml:space="preserve">(1) E content certificate</t>
  </si>
  <si>
    <t>1hyfm2hOwN-su9PZzJQCcmUAJfsTj_Tuv6JRyBkz19SU</t>
  </si>
  <si>
    <t xml:space="preserve">&lt;&lt;Name to be Printed on Certificate&gt;&gt;-&lt;&lt;Subject&gt;&gt;</t>
  </si>
  <si>
    <t>PDF</t>
  </si>
  <si>
    <t>["1APY_TOVAsRdET2TZ1CeJ3l6lXbibUj-U"]</t>
  </si>
  <si>
    <t>[]</t>
  </si>
  <si>
    <t>MULTIPLE_OUTPUT</t>
  </si>
  <si>
    <t xml:space="preserve">[{"type":"STANDARD","details":{"isUnmapped":false,"headerMap":"Sr No"},"tag":"Sr No"},{"type":"STANDARD","details":{"isUnmapped":false,"headerMap":"Date"},"tag":"Date"},{"type":"STANDARD","details":{"isUnmapped":false,"headerMap":"Subject"},"tag":"Subject"},{"type":"STANDARD","details":{"isUnmapped":false,"headerMap":"Name to be Printed on Certificate"},"tag":"Name"}]</t>
  </si>
  <si>
    <t>Timestamp</t>
  </si>
  <si>
    <t xml:space="preserve">Name to be Printed on Certificate 3</t>
  </si>
  <si>
    <t xml:space="preserve">Name to be Printed on Certificate 4</t>
  </si>
  <si>
    <t xml:space="preserve">Merged Doc ID - 2 Econtent Certificate</t>
  </si>
  <si>
    <t xml:space="preserve">Merged Doc URL - 2 Econtent Certificate</t>
  </si>
  <si>
    <t xml:space="preserve">Link to merged Doc - 2 Econtent Certificate</t>
  </si>
  <si>
    <t xml:space="preserve">Document Merge Status - 2 Econtent Certificate</t>
  </si>
  <si>
    <t>PHYSIOTHERAPHY</t>
  </si>
  <si>
    <t>Dr.Rinkal</t>
  </si>
  <si>
    <t>Dr.Asha</t>
  </si>
  <si>
    <t xml:space="preserve"> Dr.Prachi</t>
  </si>
  <si>
    <t xml:space="preserve"> Dr.Dhaval</t>
  </si>
  <si>
    <t xml:space="preserve">Fundamentals of ET-1</t>
  </si>
  <si>
    <t>1gyUMYvdoAWp93yhR5yYZKB7kN6VS2SxE</t>
  </si>
  <si>
    <t>https://drive.google.com/file/d/1gyUMYvdoAWp93yhR5yYZKB7kN6VS2SxE/view?usp=drivesdk</t>
  </si>
  <si>
    <t xml:space="preserve">Document successfully created; Document successfully merged; PDF created; Manually run by nirmita.patel27183@paruluniversity.ac.in; Timestamp: Apr 29 2026 1:51 AM</t>
  </si>
  <si>
    <t xml:space="preserve">DR.RUSHIKESH JOSHI, </t>
  </si>
  <si>
    <t xml:space="preserve">DR.TANVI PATEL, </t>
  </si>
  <si>
    <t xml:space="preserve">DR.POOJA SONI</t>
  </si>
  <si>
    <t xml:space="preserve">DR.NIDHI MANGROLIA</t>
  </si>
  <si>
    <t>1RomXGXq4D02P0f3OIuBCfx5HuIEalA7w</t>
  </si>
  <si>
    <t>https://drive.google.com/file/d/1RomXGXq4D02P0f3OIuBCfx5HuIEalA7w/view?usp=drivesdk</t>
  </si>
  <si>
    <t>Dr.Meghavi,</t>
  </si>
  <si>
    <t xml:space="preserve">Dr.Heli, </t>
  </si>
  <si>
    <t xml:space="preserve"> Dr.Sonal</t>
  </si>
  <si>
    <t>Dr.Mansi</t>
  </si>
  <si>
    <t>Electrotherapy-I</t>
  </si>
  <si>
    <t>1kk-n50-lgKa2Efjs186_3l_ydH-m83HN</t>
  </si>
  <si>
    <t>https://drive.google.com/file/d/1kk-n50-lgKa2Efjs186_3l_ydH-m83HN/view?usp=drivesdk</t>
  </si>
  <si>
    <t xml:space="preserve">Document successfully created; Document successfully merged; PDF created; Manually run by nirmita.patel27183@paruluniversity.ac.in; Timestamp: Apr 29 2026 1:52 AM</t>
  </si>
  <si>
    <t xml:space="preserve">Dr. Priyanka,</t>
  </si>
  <si>
    <t xml:space="preserve">Dr. Simrah, </t>
  </si>
  <si>
    <t xml:space="preserve"> Dr. Madhavi</t>
  </si>
  <si>
    <t xml:space="preserve">Dr. Didhiti</t>
  </si>
  <si>
    <t xml:space="preserve">Therapeutics of Exercise Therapy-I</t>
  </si>
  <si>
    <t>1H2hyQG6O2w0pM_3K6xpCqWfDUAdyVq2u</t>
  </si>
  <si>
    <t>https://drive.google.com/file/d/1H2hyQG6O2w0pM_3K6xpCqWfDUAdyVq2u/view?usp=drivesdk</t>
  </si>
  <si>
    <t xml:space="preserve">Dr.Jigisha, </t>
  </si>
  <si>
    <t xml:space="preserve">Dr. Advita, </t>
  </si>
  <si>
    <t xml:space="preserve">Dr. Joyal</t>
  </si>
  <si>
    <t xml:space="preserve">Dr. Nilesh</t>
  </si>
  <si>
    <t xml:space="preserve">Therapeutics of Exercise Therapy-II</t>
  </si>
  <si>
    <t>1nOYQgrmFO5MQqh5kDUnf05OxlJc20Y8P</t>
  </si>
  <si>
    <t>https://drive.google.com/file/d/1nOYQgrmFO5MQqh5kDUnf05OxlJc20Y8P/view?usp=drivesdk</t>
  </si>
  <si>
    <t xml:space="preserve">Dr. Dhwani, </t>
  </si>
  <si>
    <t xml:space="preserve">Dr. Dwija, </t>
  </si>
  <si>
    <t xml:space="preserve">Dr. Chaitali</t>
  </si>
  <si>
    <t xml:space="preserve">Dr. Dharmang</t>
  </si>
  <si>
    <t xml:space="preserve">Biomechanics and Kinesiology-II</t>
  </si>
  <si>
    <t>1PbxtA94A1_2lqEzrLOgMEK0CWlhdnE6C</t>
  </si>
  <si>
    <t>https://drive.google.com/file/d/1PbxtA94A1_2lqEzrLOgMEK0CWlhdnE6C/view?usp=drivesdk</t>
  </si>
  <si>
    <t xml:space="preserve">DR.SANDIP PAREKH, </t>
  </si>
  <si>
    <t xml:space="preserve">DR.PRAKRUTI PARIKH, </t>
  </si>
  <si>
    <t xml:space="preserve">DR.GOPI PANCHMATIA</t>
  </si>
  <si>
    <t xml:space="preserve">DR.DARPAN VANAVI</t>
  </si>
  <si>
    <t>1Rv1Qt1YcCGA4StmAj7SMbnIu_Twmdzpq</t>
  </si>
  <si>
    <t>https://drive.google.com/file/d/1Rv1Qt1YcCGA4StmAj7SMbnIu_Twmdzpq/view?usp=drivesdk</t>
  </si>
  <si>
    <t xml:space="preserve">DR.MONALI SONI, </t>
  </si>
  <si>
    <t xml:space="preserve">DR.PAYAL BHARDVA, </t>
  </si>
  <si>
    <t xml:space="preserve">DR.HETA DOSHI</t>
  </si>
  <si>
    <t xml:space="preserve">DR.PARTH PRAJAPATI</t>
  </si>
  <si>
    <t xml:space="preserve">EXERCISE THERAPY 2</t>
  </si>
  <si>
    <t>1tRu8QJeYFsCjglalcbcD1UIuRU4EbLAt</t>
  </si>
  <si>
    <t>https://drive.google.com/file/d/1tRu8QJeYFsCjglalcbcD1UIuRU4EbLAt/view?usp=drivesdk</t>
  </si>
  <si>
    <t xml:space="preserve">Mr. Vikash Verma, </t>
  </si>
  <si>
    <t xml:space="preserve">Mr. Vinay Yadav, </t>
  </si>
  <si>
    <t xml:space="preserve">Mr. Ashish Shah</t>
  </si>
  <si>
    <t xml:space="preserve">Ishan Desai</t>
  </si>
  <si>
    <t xml:space="preserve">Power System - I</t>
  </si>
  <si>
    <t>1qiSB2eMdloTTx7KWPfBLM3c075A6zXO2</t>
  </si>
  <si>
    <t>https://drive.google.com/file/d/1qiSB2eMdloTTx7KWPfBLM3c075A6zXO2/view?usp=drivesdk</t>
  </si>
  <si>
    <t xml:space="preserve">Document successfully created; Document successfully merged; PDF created; Manually run by nirmita.patel27183@paruluniversity.ac.in; Timestamp: Apr 29 2026 2:00 AM</t>
  </si>
  <si>
    <t xml:space="preserve">Dr. Manjusha P, </t>
  </si>
  <si>
    <t xml:space="preserve">Dr Hrishita Dahilekar, </t>
  </si>
  <si>
    <t xml:space="preserve">Dr. Parvathy S </t>
  </si>
  <si>
    <t xml:space="preserve">Dr Prashant Patil</t>
  </si>
  <si>
    <t xml:space="preserve">Roga Nidan evam Vikriti Vigyan Paper 2</t>
  </si>
  <si>
    <t>2526ECD0451</t>
  </si>
  <si>
    <t>1UmjUvnHaxt6BeT3jjrEykDQbcSa6V4yV</t>
  </si>
  <si>
    <t>https://drive.google.com/file/d/1UmjUvnHaxt6BeT3jjrEykDQbcSa6V4yV/view?usp=drivesdk</t>
  </si>
  <si>
    <t xml:space="preserve">Dr. Tarangna G, </t>
  </si>
  <si>
    <t xml:space="preserve">Dr. Prachi V, </t>
  </si>
  <si>
    <t xml:space="preserve">Dr. Malavika B</t>
  </si>
  <si>
    <t xml:space="preserve">Dr.Shivangi </t>
  </si>
  <si>
    <t xml:space="preserve">Kayachikitsa including Manasa Roga, Rasayana and Vajikarana Paper 2 </t>
  </si>
  <si>
    <t>2526ECD0452</t>
  </si>
  <si>
    <t>1LHlKr3Bk47mOWsvJ_R1tUp5uHJ1oHHHM</t>
  </si>
  <si>
    <t>https://drive.google.com/file/d/1LHlKr3Bk47mOWsvJ_R1tUp5uHJ1oHHHM/view?usp=drivesdk</t>
  </si>
  <si>
    <t xml:space="preserve">Dr.Shivangi, </t>
  </si>
  <si>
    <t xml:space="preserve">Dr. Tarangna G,</t>
  </si>
  <si>
    <t xml:space="preserve"> Dr. Prachi V </t>
  </si>
  <si>
    <t xml:space="preserve">Kayachikitsa including Vyadhi Vishesha Chikitsa Evam Rasayana, Vajikarana Paper 3</t>
  </si>
  <si>
    <t>2526ECD0453</t>
  </si>
  <si>
    <t>1AsNyuchpBCQQl4kEASbZE-IIO5FdzPCK</t>
  </si>
  <si>
    <t>https://drive.google.com/file/d/1AsNyuchpBCQQl4kEASbZE-IIO5FdzPCK/view?usp=drivesdk</t>
  </si>
  <si>
    <t xml:space="preserve">Dr. Nisha R, </t>
  </si>
  <si>
    <t xml:space="preserve">Dr Mahesh Dodiya, </t>
  </si>
  <si>
    <t xml:space="preserve">Dr. Abhilesh V S</t>
  </si>
  <si>
    <t xml:space="preserve">Dr. Jignesha Charel </t>
  </si>
  <si>
    <t xml:space="preserve">Panchakarma &amp; Upakarma Part B</t>
  </si>
  <si>
    <t>2526ECD0454</t>
  </si>
  <si>
    <t>1WVFGwQ0m49_KQuLaHRMhFdKq10TR_E7U</t>
  </si>
  <si>
    <t>https://drive.google.com/file/d/1WVFGwQ0m49_KQuLaHRMhFdKq10TR_E7U/view?usp=drivesdk</t>
  </si>
  <si>
    <t xml:space="preserve">Dr. Krunal P, </t>
  </si>
  <si>
    <t xml:space="preserve">Dr. Ganesh T,</t>
  </si>
  <si>
    <t xml:space="preserve">Dr. Jasna C</t>
  </si>
  <si>
    <t xml:space="preserve"> Dr Sreelakshmy</t>
  </si>
  <si>
    <t xml:space="preserve"> Shalakya Tantra-Ophthalmology, Oto-Rhino- Laryngology &amp; Oro-Dentistry Paper 1</t>
  </si>
  <si>
    <t>2526ECD0456</t>
  </si>
  <si>
    <t>1koI4RPd-nOHo_lb2iOgHTjr6mKzBoQ8c</t>
  </si>
  <si>
    <t>https://drive.google.com/file/d/1koI4RPd-nOHo_lb2iOgHTjr6mKzBoQ8c/view?usp=drivesdk</t>
  </si>
  <si>
    <t xml:space="preserve">Dr. Chithra G,</t>
  </si>
  <si>
    <t xml:space="preserve">Dr Prashant Fawde, </t>
  </si>
  <si>
    <t xml:space="preserve"> Dr. Gauri S</t>
  </si>
  <si>
    <t xml:space="preserve">Dr Shradha</t>
  </si>
  <si>
    <t xml:space="preserve">Prasuti Tantra evam Stree Roga Paper 1</t>
  </si>
  <si>
    <t>2526ECD0457</t>
  </si>
  <si>
    <t>1FBCNbuS3_lEecm604qOtLsP7BPtDVV5A</t>
  </si>
  <si>
    <t>https://drive.google.com/file/d/1FBCNbuS3_lEecm604qOtLsP7BPtDVV5A/view?usp=drivesdk</t>
  </si>
  <si>
    <t xml:space="preserve">Dr Sunderlal Singh, </t>
  </si>
  <si>
    <t xml:space="preserve">Dr Jash Mehta, </t>
  </si>
  <si>
    <t xml:space="preserve">Dr Jay K Solanki</t>
  </si>
  <si>
    <t xml:space="preserve">Dr Selva Panda</t>
  </si>
  <si>
    <t xml:space="preserve">Human Anatomy</t>
  </si>
  <si>
    <t>2526ECD0470</t>
  </si>
  <si>
    <t>1uy6uMIJsz8MqXwnAgxKH8qFsVw24P5aq</t>
  </si>
  <si>
    <t>https://drive.google.com/file/d/1uy6uMIJsz8MqXwnAgxKH8qFsVw24P5aq/view?usp=drivesdk</t>
  </si>
  <si>
    <t xml:space="preserve">Document successfully created; Document successfully merged; PDF created; Manually run by nirmita.patel27183@paruluniversity.ac.in; Timestamp: Apr 30 2026 12:20 AM</t>
  </si>
  <si>
    <t xml:space="preserve">Dr Komal Patel, </t>
  </si>
  <si>
    <t xml:space="preserve">Dr Jyoti Poddar,</t>
  </si>
  <si>
    <t xml:space="preserve">Dr Alpesh Jaiswal</t>
  </si>
  <si>
    <t xml:space="preserve"> Dr Shreya Joshi</t>
  </si>
  <si>
    <t xml:space="preserve">Organon of Medicine</t>
  </si>
  <si>
    <t>2526ECD0471</t>
  </si>
  <si>
    <t>1oGPHJH4NJfjdtR70rEzDR_rczylB9E4P</t>
  </si>
  <si>
    <t>https://drive.google.com/file/d/1oGPHJH4NJfjdtR70rEzDR_rczylB9E4P/view?usp=drivesdk</t>
  </si>
  <si>
    <t xml:space="preserve">Dr Falguni Patel, </t>
  </si>
  <si>
    <t xml:space="preserve">Dr Jagruti Patel, </t>
  </si>
  <si>
    <t xml:space="preserve">Dr Sameera</t>
  </si>
  <si>
    <t xml:space="preserve">Dr Janki</t>
  </si>
  <si>
    <t xml:space="preserve">Forensic Medicine</t>
  </si>
  <si>
    <t>2526ECD0472</t>
  </si>
  <si>
    <t>1Yzm6m5OGbrHLeXMFo9Iqzgjvg9CxTGfk</t>
  </si>
  <si>
    <t>https://drive.google.com/file/d/1Yzm6m5OGbrHLeXMFo9Iqzgjvg9CxTGfk/view?usp=drivesdk</t>
  </si>
  <si>
    <t xml:space="preserve">Dr Riya Jodha, </t>
  </si>
  <si>
    <t xml:space="preserve">Dr Parula Patel,Dr </t>
  </si>
  <si>
    <t xml:space="preserve">Dr Indrani Halder</t>
  </si>
  <si>
    <t xml:space="preserve">Krunal Dabhi</t>
  </si>
  <si>
    <t>Repertory</t>
  </si>
  <si>
    <t>2526ECD0473</t>
  </si>
  <si>
    <t>1VFKeUHnSFiu9_fzKy78LVFh7VRK1jyFE</t>
  </si>
  <si>
    <t>https://drive.google.com/file/d/1VFKeUHnSFiu9_fzKy78LVFh7VRK1jyFE/view?usp=drivesdk</t>
  </si>
  <si>
    <t xml:space="preserve">Document successfully created; Document successfully merged; PDF created; Manually run by nirmita.patel27183@paruluniversity.ac.in; Timestamp: Apr 30 2026 12:21 AM</t>
  </si>
  <si>
    <t xml:space="preserve">Dr Priyanka Shah, </t>
  </si>
  <si>
    <t xml:space="preserve">Dr Sujeet Lal, </t>
  </si>
  <si>
    <t xml:space="preserve">Dr Surbhi Soni</t>
  </si>
  <si>
    <t xml:space="preserve">Dr Viren Nimbark</t>
  </si>
  <si>
    <t>Surgery</t>
  </si>
  <si>
    <t>2526ECD0474</t>
  </si>
  <si>
    <t>1H4QmffVYIcXCRnjadG-E2K_FzdLgoHcB</t>
  </si>
  <si>
    <t>https://drive.google.com/file/d/1H4QmffVYIcXCRnjadG-E2K_FzdLgoHcB/view?usp=drivesdk</t>
  </si>
  <si>
    <t xml:space="preserve">Dr Pranali Mistry, </t>
  </si>
  <si>
    <t xml:space="preserve">Dr Zankhana Desai, </t>
  </si>
  <si>
    <t xml:space="preserve">Dr Hasti Dekivadiya</t>
  </si>
  <si>
    <t xml:space="preserve">Dr Mayank Yadav</t>
  </si>
  <si>
    <t xml:space="preserve">Community Medicine</t>
  </si>
  <si>
    <t>2526ECD0475</t>
  </si>
  <si>
    <t>17aUuH1zh2QFm_baUArun_GgIrWADaZnP</t>
  </si>
  <si>
    <t>https://drive.google.com/file/d/17aUuH1zh2QFm_baUArun_GgIrWADaZnP/view?usp=drivesdk</t>
  </si>
  <si>
    <t>PIA</t>
  </si>
  <si>
    <t xml:space="preserve">Dr Nirav, </t>
  </si>
  <si>
    <t xml:space="preserve">Dr Amal Thomas, </t>
  </si>
  <si>
    <t xml:space="preserve">Dr Sebin</t>
  </si>
  <si>
    <t xml:space="preserve">Dr Shivakumar</t>
  </si>
  <si>
    <t xml:space="preserve">Rachana Sharir (Human Anatomy) Paper 2</t>
  </si>
  <si>
    <t>1oTebnx5Nbn9hEZmpE20ixsE3WSBHAXIC</t>
  </si>
  <si>
    <t>https://drive.google.com/file/d/1oTebnx5Nbn9hEZmpE20ixsE3WSBHAXIC/view?usp=drivesdk</t>
  </si>
  <si>
    <t xml:space="preserve">Dr. Maitry Sachinwala, </t>
  </si>
  <si>
    <t xml:space="preserve">Dr Ebin, </t>
  </si>
  <si>
    <t xml:space="preserve">Dr Anjali</t>
  </si>
  <si>
    <t xml:space="preserve">Dr. ANILA R S</t>
  </si>
  <si>
    <t xml:space="preserve">Rasashastra evam Bhaishajyakalpana paper 2</t>
  </si>
  <si>
    <t>2526ECD0487</t>
  </si>
  <si>
    <t>1nl9TkdO_KlxMAiyE9M4c6oYcEJvoyM-P</t>
  </si>
  <si>
    <t>https://drive.google.com/file/d/1nl9TkdO_KlxMAiyE9M4c6oYcEJvoyM-P/view?usp=drivesdk</t>
  </si>
  <si>
    <t xml:space="preserve">Dr. Swati Barve, </t>
  </si>
  <si>
    <t xml:space="preserve">Dr. KORA RANJITH KUMAR, </t>
  </si>
  <si>
    <t xml:space="preserve">Dr Rahul</t>
  </si>
  <si>
    <t xml:space="preserve">Dr. SREELAL</t>
  </si>
  <si>
    <t xml:space="preserve">Panchakarma &amp; Upakarma Part A</t>
  </si>
  <si>
    <t>2526ECD0490</t>
  </si>
  <si>
    <t>1QjwiUf5aB0tVsuecLaF7JDjHfwNE2XBZ</t>
  </si>
  <si>
    <t>https://drive.google.com/file/d/1QjwiUf5aB0tVsuecLaF7JDjHfwNE2XBZ/view?usp=drivesdk</t>
  </si>
  <si>
    <t xml:space="preserve">Document successfully created; Document successfully merged; PDF created; Manually run by nirmita.patel27183@paruluniversity.ac.in; Timestamp: Apr 30 2026 12:57 AM</t>
  </si>
  <si>
    <t xml:space="preserve">Dr. NIHALUDDIN , </t>
  </si>
  <si>
    <t xml:space="preserve">Dr. RADHIKA , </t>
  </si>
  <si>
    <t xml:space="preserve">Dr. NIJIL A.V</t>
  </si>
  <si>
    <t xml:space="preserve">Dr. SHALAKA MORE</t>
  </si>
  <si>
    <t xml:space="preserve">Shalakya Tantra-Ophthalmology, Oto-Rhino- Laryngology &amp; Oro-Dentistry Paper 2</t>
  </si>
  <si>
    <t>2526ECD0492</t>
  </si>
  <si>
    <t>1jP1VSP6jNxhTR9mdiW2GSjaGosVzOHhH</t>
  </si>
  <si>
    <t>https://drive.google.com/file/d/1jP1VSP6jNxhTR9mdiW2GSjaGosVzOHhH/view?usp=drivesdk</t>
  </si>
  <si>
    <t xml:space="preserve">Document successfully created; Document successfully merged; PDF created; Manually run by nirmita.patel27183@paruluniversity.ac.in; Timestamp: Apr 30 2026 12:56 AM</t>
  </si>
  <si>
    <t xml:space="preserve">Dr. Kavya MohanKumar,</t>
  </si>
  <si>
    <t xml:space="preserve">Dr. Shailaja, </t>
  </si>
  <si>
    <t xml:space="preserve">Dr. Ishita Swami</t>
  </si>
  <si>
    <t xml:space="preserve">Dr. Aneesh</t>
  </si>
  <si>
    <t xml:space="preserve">Kaumarabhritya Part A</t>
  </si>
  <si>
    <t>2526ECD0493</t>
  </si>
  <si>
    <t>1hsLjnRq-l8aOaSyX-fGYMGEOh8QdCtO8</t>
  </si>
  <si>
    <t>https://drive.google.com/file/d/1hsLjnRq-l8aOaSyX-fGYMGEOh8QdCtO8/view?usp=drivesdk</t>
  </si>
  <si>
    <t xml:space="preserve">Document successfully created; Document successfully merged; PDF created; Manually run by nirmita.patel27183@paruluniversity.ac.in; Timestamp: Apr 30 2026 4:00 AM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</si>
</sst>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 mmmm,yyyy"/>
    <numFmt numFmtId="165" formatCode="d mmmm, yyyy"/>
  </numFmts>
  <fonts count="56">
    <font>
      <sz val="10.000000"/>
      <color theme="1"/>
      <name val="Arial"/>
      <scheme val="minor"/>
    </font>
    <font>
      <color theme="1"/>
      <name val="Arial"/>
      <scheme val="minor"/>
    </font>
    <font>
      <b/>
      <i/>
      <name val="Arial"/>
      <scheme val="minor"/>
    </font>
    <font>
      <b/>
      <sz val="18.000000"/>
      <color theme="1"/>
      <name val="Arial"/>
      <scheme val="minor"/>
    </font>
    <font>
      <color theme="1"/>
      <name val="Arial"/>
    </font>
    <font>
      <u/>
      <color indexed="4"/>
      <name val="Roboto"/>
    </font>
    <font>
      <u/>
      <sz val="10.000000"/>
      <color theme="10"/>
      <name val="Arial"/>
    </font>
    <font>
      <b/>
      <sz val="16.000000"/>
      <color theme="1"/>
      <name val="Arial"/>
      <scheme val="minor"/>
    </font>
    <font>
      <sz val="12.000000"/>
      <color theme="1"/>
      <name val="Times New Roman"/>
    </font>
    <font>
      <b/>
      <sz val="15.000000"/>
      <color theme="1"/>
      <name val="Arial"/>
      <scheme val="minor"/>
    </font>
    <font>
      <color rgb="FF434343"/>
      <name val="Roboto"/>
    </font>
    <font>
      <u/>
      <color rgb="FF434343"/>
      <name val="Roboto"/>
    </font>
    <font>
      <sz val="12.000000"/>
      <color theme="1"/>
      <name val="Arial"/>
    </font>
    <font>
      <sz val="12.000000"/>
      <name val="&quot;Calibri&quot;"/>
    </font>
    <font>
      <sz val="12.000000"/>
      <color theme="1"/>
      <name val="Calibri"/>
    </font>
    <font>
      <sz val="9.000000"/>
      <color theme="1"/>
      <name val="Arial"/>
    </font>
    <font>
      <sz val="11.000000"/>
      <color theme="1"/>
      <name val="Calibri"/>
    </font>
    <font>
      <color theme="1"/>
      <name val="Times New Roman"/>
    </font>
    <font>
      <sz val="9.000000"/>
      <color theme="1"/>
      <name val="Arial MT"/>
    </font>
    <font>
      <b/>
      <sz val="17.000000"/>
      <color theme="1"/>
      <name val="Arial"/>
      <scheme val="minor"/>
    </font>
    <font>
      <sz val="13.000000"/>
      <color rgb="FF434343"/>
      <name val="Arial"/>
    </font>
    <font>
      <sz val="11.000000"/>
      <color rgb="FF434343"/>
      <name val="Arial"/>
    </font>
    <font>
      <sz val="11.000000"/>
      <color rgb="FF434343"/>
      <name val="Times New Roman"/>
    </font>
    <font>
      <sz val="12.000000"/>
      <color rgb="FF434343"/>
      <name val="Times New Roman"/>
    </font>
    <font>
      <sz val="11.000000"/>
      <color rgb="FF434343"/>
      <name val="Calibri"/>
    </font>
    <font>
      <sz val="12.000000"/>
      <color rgb="FF434343"/>
      <name val="Calibri"/>
    </font>
    <font>
      <b/>
      <sz val="14.000000"/>
      <color theme="1"/>
      <name val="Arial"/>
      <scheme val="minor"/>
    </font>
    <font>
      <color rgb="FF434343"/>
      <name val="Arial"/>
    </font>
    <font>
      <i/>
      <sz val="12.000000"/>
      <color rgb="FF434343"/>
      <name val="Calibri"/>
    </font>
    <font>
      <sz val="11.000000"/>
      <color rgb="FF434343"/>
      <name val="Cambria"/>
    </font>
    <font>
      <sz val="12.000000"/>
      <color rgb="FF434343"/>
      <name val="Cambria"/>
    </font>
    <font>
      <sz val="11.000000"/>
      <color theme="1"/>
      <name val="Times New Roman"/>
    </font>
    <font>
      <b/>
      <sz val="13.000000"/>
      <color rgb="FF434343"/>
      <name val="Arial"/>
    </font>
    <font>
      <sz val="10.000000"/>
      <color rgb="FF434343"/>
      <name val="Arial"/>
    </font>
    <font>
      <sz val="10.000000"/>
      <color rgb="FF434343"/>
      <name val="Times New Roman"/>
    </font>
    <font>
      <b/>
      <sz val="14.000000"/>
      <color rgb="FF434343"/>
      <name val="Arial"/>
    </font>
    <font>
      <sz val="10.000000"/>
      <color rgb="FF222222"/>
      <name val="Arial"/>
    </font>
    <font>
      <sz val="11.000000"/>
      <color rgb="FF434343"/>
      <name val="Trebuchet MS"/>
    </font>
    <font>
      <sz val="12.000000"/>
      <name val="Calibri"/>
    </font>
    <font>
      <b/>
      <sz val="10.000000"/>
      <name val="Calibri"/>
    </font>
    <font>
      <sz val="12.000000"/>
      <name val="Times New Roman"/>
    </font>
    <font>
      <sz val="12.000000"/>
      <color indexed="4"/>
      <name val="Calibri"/>
    </font>
    <font>
      <b/>
      <sz val="10.000000"/>
      <color rgb="FF434343"/>
      <name val="Arial"/>
    </font>
    <font>
      <sz val="12.000000"/>
      <color indexed="64"/>
      <name val="Calibri"/>
    </font>
    <font>
      <b/>
      <sz val="12.000000"/>
      <color rgb="FF434343"/>
      <name val="Calibri"/>
    </font>
    <font>
      <b/>
      <sz val="12.000000"/>
      <color indexed="64"/>
      <name val="Calibri"/>
    </font>
    <font>
      <sz val="14.000000"/>
      <color theme="1"/>
      <name val="Arial"/>
      <scheme val="minor"/>
    </font>
    <font>
      <sz val="11.000000"/>
      <color theme="1"/>
      <name val="Arial"/>
    </font>
    <font>
      <sz val="12.000000"/>
      <color theme="1"/>
      <name val="Arial"/>
      <scheme val="minor"/>
    </font>
    <font>
      <b/>
      <sz val="16.000000"/>
      <color rgb="FF434343"/>
      <name val="Arial"/>
    </font>
    <font>
      <b/>
      <sz val="17.000000"/>
      <color rgb="FF434343"/>
      <name val="Arial"/>
    </font>
    <font>
      <b/>
      <sz val="13.000000"/>
      <color theme="1"/>
      <name val="Arial"/>
      <scheme val="minor"/>
    </font>
    <font>
      <sz val="10.000000"/>
      <color indexed="65"/>
      <name val="Arial"/>
    </font>
    <font>
      <b/>
      <i/>
      <sz val="10.000000"/>
      <name val="Arial"/>
    </font>
    <font>
      <sz val="11.000000"/>
      <color indexed="2"/>
      <name val="Calibri"/>
    </font>
    <font>
      <sz val="10.000000"/>
      <color indexed="2"/>
      <name val="Arial"/>
    </font>
  </fonts>
  <fills count="24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EFEFEF"/>
        <bgColor rgb="FFEFEFEF"/>
      </patternFill>
    </fill>
    <fill>
      <patternFill patternType="solid">
        <fgColor indexed="65"/>
        <bgColor indexed="65"/>
      </patternFill>
    </fill>
    <fill>
      <patternFill patternType="solid">
        <fgColor rgb="FFE6B8AF"/>
        <bgColor rgb="FFE6B8AF"/>
      </patternFill>
    </fill>
    <fill>
      <patternFill patternType="solid">
        <fgColor rgb="FFF8F9FA"/>
        <bgColor rgb="FFF8F9FA"/>
      </patternFill>
    </fill>
    <fill>
      <patternFill patternType="solid">
        <fgColor indexed="3"/>
        <bgColor indexed="3"/>
      </patternFill>
    </fill>
    <fill>
      <patternFill patternType="solid">
        <fgColor theme="6"/>
        <bgColor theme="6"/>
      </patternFill>
    </fill>
    <fill>
      <patternFill patternType="solid">
        <fgColor rgb="FFB6D7A8"/>
        <bgColor rgb="FFB6D7A8"/>
      </patternFill>
    </fill>
    <fill>
      <patternFill patternType="solid">
        <fgColor indexed="6"/>
        <bgColor indexed="6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indexed="5"/>
        <bgColor indexed="5"/>
      </patternFill>
    </fill>
    <fill>
      <patternFill patternType="solid">
        <fgColor indexed="7"/>
        <bgColor indexed="7"/>
      </patternFill>
    </fill>
    <fill>
      <patternFill patternType="solid">
        <fgColor rgb="FF4A86E8"/>
        <bgColor rgb="FF4A86E8"/>
      </patternFill>
    </fill>
    <fill>
      <patternFill patternType="solid">
        <fgColor theme="6" tint="0"/>
        <bgColor theme="6" tint="0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</fills>
  <borders count="78">
    <border>
      <left style="none"/>
      <right style="none"/>
      <top style="none"/>
      <bottom style="none"/>
      <diagonal style="none"/>
    </border>
    <border>
      <left style="thin">
        <color rgb="FF5B3F86"/>
      </left>
      <right style="none"/>
      <top style="thin">
        <color rgb="FF5B3F86"/>
      </top>
      <bottom style="none"/>
      <diagonal style="none"/>
    </border>
    <border>
      <left style="none"/>
      <right style="none"/>
      <top style="thin">
        <color rgb="FF5B3F86"/>
      </top>
      <bottom style="none"/>
      <diagonal style="none"/>
    </border>
    <border>
      <left style="none"/>
      <right style="thin">
        <color rgb="FF5B3F86"/>
      </right>
      <top style="thin">
        <color rgb="FF5B3F86"/>
      </top>
      <bottom style="none"/>
      <diagonal style="none"/>
    </border>
    <border>
      <left style="thin">
        <color rgb="FF5B3F86"/>
      </left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rgb="FF5B3F86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indexed="7"/>
      </left>
      <right style="thin">
        <color indexed="7"/>
      </right>
      <top style="thin">
        <color indexed="7"/>
      </top>
      <bottom style="thin">
        <color indexed="7"/>
      </bottom>
      <diagonal style="none"/>
    </border>
    <border>
      <left style="thin">
        <color indexed="7"/>
      </left>
      <right style="none"/>
      <top style="thin">
        <color indexed="7"/>
      </top>
      <bottom style="thin">
        <color indexed="7"/>
      </bottom>
      <diagonal style="none"/>
    </border>
    <border>
      <left style="thin">
        <color indexed="5"/>
      </left>
      <right style="thin">
        <color indexed="5"/>
      </right>
      <top style="thin">
        <color indexed="5"/>
      </top>
      <bottom style="thin">
        <color indexed="5"/>
      </bottom>
      <diagonal style="none"/>
    </border>
    <border>
      <left style="thin">
        <color indexed="5"/>
      </left>
      <right style="thin">
        <color indexed="5"/>
      </right>
      <top style="thin">
        <color indexed="5"/>
      </top>
      <bottom style="none"/>
      <diagonal style="none"/>
    </border>
    <border>
      <left style="thin">
        <color indexed="7"/>
      </left>
      <right style="thin">
        <color indexed="7"/>
      </right>
      <top style="thin">
        <color indexed="7"/>
      </top>
      <bottom style="none"/>
      <diagonal style="none"/>
    </border>
    <border>
      <left style="thin">
        <color indexed="7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indexed="7"/>
      </left>
      <right style="none"/>
      <top style="thin">
        <color indexed="7"/>
      </top>
      <bottom style="none"/>
      <diagonal style="none"/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  <diagonal style="none"/>
    </border>
    <border>
      <left style="thin">
        <color rgb="FF4A86E8"/>
      </left>
      <right style="thin">
        <color rgb="FF4A86E8"/>
      </right>
      <top style="thin">
        <color rgb="FF4A86E8"/>
      </top>
      <bottom style="none"/>
      <diagonal style="none"/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42F65"/>
      </bottom>
      <diagonal style="none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 style="none"/>
    </border>
    <border>
      <left style="thin">
        <color rgb="FFE7E6E6"/>
      </left>
      <right style="none"/>
      <top style="thin">
        <color rgb="FFE7E6E6"/>
      </top>
      <bottom style="thin">
        <color rgb="FFE7E6E6"/>
      </bottom>
      <diagonal style="none"/>
    </border>
    <border>
      <left style="none"/>
      <right style="none"/>
      <top style="none"/>
      <bottom style="thin">
        <color rgb="FF5B3F86"/>
      </bottom>
      <diagonal style="none"/>
    </border>
    <border>
      <left style="none"/>
      <right style="thin">
        <color rgb="FF5B3F86"/>
      </right>
      <top style="none"/>
      <bottom style="thin">
        <color rgb="FF5B3F86"/>
      </bottom>
      <diagonal style="none"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 style="none"/>
    </border>
    <border>
      <left style="thin">
        <color rgb="FFCCCCCC"/>
      </left>
      <right style="thin">
        <color rgb="FFF8F9FA"/>
      </right>
      <top style="thin">
        <color rgb="FFF8F9FA"/>
      </top>
      <bottom style="thin">
        <color rgb="FFF8F9FA"/>
      </bottom>
      <diagonal style="none"/>
    </border>
    <border>
      <left style="thin">
        <color rgb="FFCCCCCC"/>
      </left>
      <right style="thin">
        <color indexed="7"/>
      </right>
      <top style="thin">
        <color rgb="FFF8F9FA"/>
      </top>
      <bottom style="thin">
        <color rgb="FFF8F9FA"/>
      </bottom>
      <diagonal style="none"/>
    </border>
    <border>
      <left style="thin">
        <color rgb="FFCCCCCC"/>
      </left>
      <right style="thin">
        <color indexed="7"/>
      </right>
      <top style="thin">
        <color indexed="7"/>
      </top>
      <bottom style="thin">
        <color indexed="7"/>
      </bottom>
      <diagonal style="none"/>
    </border>
    <border>
      <left style="thin">
        <color rgb="FFCCCCCC"/>
      </left>
      <right style="thin">
        <color rgb="FF442F65"/>
      </right>
      <top style="thin">
        <color rgb="FFF8F9FA"/>
      </top>
      <bottom style="thin">
        <color rgb="FFF8F9FA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442F65"/>
      </left>
      <right style="thin">
        <color indexed="65"/>
      </right>
      <top style="thin">
        <color rgb="FFCCCCCC"/>
      </top>
      <bottom style="thin">
        <color rgb="FFF8F9FA"/>
      </bottom>
      <diagonal style="none"/>
    </border>
    <border>
      <left style="thin">
        <color rgb="FFCCCCCC"/>
      </left>
      <right style="thin">
        <color indexed="65"/>
      </right>
      <top style="thin">
        <color rgb="FFCCCCCC"/>
      </top>
      <bottom style="thin">
        <color rgb="FFF8F9FA"/>
      </bottom>
      <diagonal style="none"/>
    </border>
    <border>
      <left style="thin">
        <color rgb="FFCCCCCC"/>
      </left>
      <right style="thin">
        <color indexed="7"/>
      </right>
      <top style="thin">
        <color rgb="FFCCCCCC"/>
      </top>
      <bottom style="thin">
        <color rgb="FFF8F9FA"/>
      </bottom>
      <diagonal style="none"/>
    </border>
    <border>
      <left style="thin">
        <color rgb="FFCCCCCC"/>
      </left>
      <right style="thin">
        <color indexed="7"/>
      </right>
      <top style="thin">
        <color rgb="FFCCCCCC"/>
      </top>
      <bottom style="thin">
        <color indexed="7"/>
      </bottom>
      <diagonal style="none"/>
    </border>
    <border>
      <left style="thin">
        <color rgb="FFCCCCCC"/>
      </left>
      <right style="thin">
        <color rgb="FF442F65"/>
      </right>
      <top style="thin">
        <color rgb="FFCCCCCC"/>
      </top>
      <bottom style="thin">
        <color rgb="FFF8F9FA"/>
      </bottom>
      <diagonal style="none"/>
    </border>
    <border>
      <left style="thin">
        <color rgb="FF442F65"/>
      </left>
      <right style="thin">
        <color rgb="FFF8F9FA"/>
      </right>
      <top style="thin">
        <color rgb="FFCCCCCC"/>
      </top>
      <bottom style="none"/>
      <diagonal style="none"/>
    </border>
    <border>
      <left style="thin">
        <color rgb="FFCCCCCC"/>
      </left>
      <right style="thin">
        <color rgb="FFF8F9FA"/>
      </right>
      <top style="thin">
        <color rgb="FFCCCCCC"/>
      </top>
      <bottom style="thin">
        <color rgb="FFF8F9FA"/>
      </bottom>
      <diagonal style="none"/>
    </border>
    <border>
      <left style="none"/>
      <right style="thin">
        <color indexed="65"/>
      </right>
      <top style="thin">
        <color rgb="FFCCCCCC"/>
      </top>
      <bottom style="thin">
        <color rgb="FFF8F9FA"/>
      </bottom>
      <diagonal style="none"/>
    </border>
    <border>
      <left style="none"/>
      <right style="thin">
        <color rgb="FFF8F9FA"/>
      </right>
      <top style="thin">
        <color rgb="FFCCCCCC"/>
      </top>
      <bottom style="thin">
        <color rgb="FFF8F9FA"/>
      </bottom>
      <diagonal style="none"/>
    </border>
    <border>
      <left style="thin">
        <color rgb="FF442F65"/>
      </left>
      <right style="thin">
        <color rgb="FFF8F9FA"/>
      </right>
      <top style="thin">
        <color rgb="FFCCCCCC"/>
      </top>
      <bottom style="thin">
        <color rgb="FFF8F9FA"/>
      </bottom>
      <diagonal style="none"/>
    </border>
    <border>
      <left style="thin">
        <color rgb="FF442F65"/>
      </left>
      <right style="thin">
        <color rgb="FFF8F9FA"/>
      </right>
      <top style="none"/>
      <bottom style="thin">
        <color rgb="FFF8F9FA"/>
      </bottom>
      <diagonal style="none"/>
    </border>
    <border>
      <left style="thin">
        <color rgb="FF442F65"/>
      </left>
      <right style="thin">
        <color indexed="65"/>
      </right>
      <top style="none"/>
      <bottom style="thin">
        <color rgb="FFF8F9FA"/>
      </bottom>
      <diagonal style="none"/>
    </border>
    <border>
      <left style="none"/>
      <right style="thin">
        <color indexed="65"/>
      </right>
      <top style="thin">
        <color rgb="FFCCCCCC"/>
      </top>
      <bottom style="thin">
        <color indexed="65"/>
      </bottom>
      <diagonal style="none"/>
    </border>
    <border>
      <left style="thin">
        <color rgb="FFCCCCCC"/>
      </left>
      <right style="thin">
        <color indexed="7"/>
      </right>
      <top style="thin">
        <color rgb="FFCCCCCC"/>
      </top>
      <bottom style="thin">
        <color indexed="65"/>
      </bottom>
      <diagonal style="none"/>
    </border>
    <border>
      <left style="none"/>
      <right style="thin">
        <color indexed="65"/>
      </right>
      <top style="thin">
        <color rgb="FFCCCCCC"/>
      </top>
      <bottom style="thin">
        <color rgb="FF442F65"/>
      </bottom>
      <diagonal style="none"/>
    </border>
    <border>
      <left style="thin">
        <color rgb="FFCCCCCC"/>
      </left>
      <right style="thin">
        <color indexed="7"/>
      </right>
      <top style="thin">
        <color rgb="FFCCCCCC"/>
      </top>
      <bottom style="thin">
        <color rgb="FF442F65"/>
      </bottom>
      <diagonal style="none"/>
    </border>
    <border>
      <left style="none"/>
      <right style="thin">
        <color rgb="FFF8F9FA"/>
      </right>
      <top style="thin">
        <color rgb="FFCCCCCC"/>
      </top>
      <bottom style="thin">
        <color indexed="2"/>
      </bottom>
      <diagonal style="none"/>
    </border>
    <border>
      <left style="thin">
        <color rgb="FFCCCCCC"/>
      </left>
      <right style="thin">
        <color indexed="7"/>
      </right>
      <top style="thin">
        <color rgb="FFCCCCCC"/>
      </top>
      <bottom style="thin">
        <color indexed="2"/>
      </bottom>
      <diagonal style="none"/>
    </border>
    <border>
      <left style="thin">
        <color rgb="FFCCCCCC"/>
      </left>
      <right style="thin">
        <color rgb="FFF8F9FA"/>
      </right>
      <top style="thin">
        <color rgb="FFCCCCCC"/>
      </top>
      <bottom style="thin">
        <color indexed="2"/>
      </bottom>
      <diagonal style="none"/>
    </border>
    <border>
      <left style="thin">
        <color rgb="FFCCCCCC"/>
      </left>
      <right style="thin">
        <color rgb="FF442F65"/>
      </right>
      <top style="thin">
        <color rgb="FFCCCCCC"/>
      </top>
      <bottom style="thin">
        <color indexed="2"/>
      </bottom>
      <diagonal style="none"/>
    </border>
    <border>
      <left style="thin">
        <color rgb="FFCCCCCC"/>
      </left>
      <right style="thin">
        <color indexed="65"/>
      </right>
      <top style="thin">
        <color rgb="FFCCCCCC"/>
      </top>
      <bottom style="thin">
        <color rgb="FF442F65"/>
      </bottom>
      <diagonal style="none"/>
    </border>
    <border>
      <left style="thin">
        <color rgb="FFCCCCCC"/>
      </left>
      <right style="thin">
        <color rgb="FF442F65"/>
      </right>
      <top style="thin">
        <color rgb="FFCCCCCC"/>
      </top>
      <bottom style="thin">
        <color rgb="FF442F65"/>
      </bottom>
      <diagonal style="none"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 style="none"/>
    </border>
    <border>
      <left style="thin">
        <color rgb="FFCCCCCC"/>
      </left>
      <right style="thin">
        <color rgb="FFF8F9FA"/>
      </right>
      <top style="thin">
        <color rgb="FFF8F9FA"/>
      </top>
      <bottom style="thin">
        <color rgb="FF442F65"/>
      </bottom>
      <diagonal style="none"/>
    </border>
    <border>
      <left style="thin">
        <color rgb="FFCCCCCC"/>
      </left>
      <right style="thin">
        <color indexed="7"/>
      </right>
      <top style="thin">
        <color rgb="FFF8F9FA"/>
      </top>
      <bottom style="thin">
        <color rgb="FF442F65"/>
      </bottom>
      <diagonal style="none"/>
    </border>
    <border>
      <left style="thin">
        <color rgb="FFCCCCCC"/>
      </left>
      <right style="thin">
        <color rgb="FF442F65"/>
      </right>
      <top style="thin">
        <color rgb="FFF8F9FA"/>
      </top>
      <bottom style="thin">
        <color rgb="FF442F65"/>
      </bottom>
      <diagonal style="none"/>
    </border>
    <border>
      <left style="thin">
        <color rgb="FF442F65"/>
      </left>
      <right style="thin">
        <color indexed="65"/>
      </right>
      <top style="thin">
        <color rgb="FFF8F9FA"/>
      </top>
      <bottom style="thin">
        <color rgb="FFF8F9FA"/>
      </bottom>
      <diagonal style="none"/>
    </border>
    <border>
      <left style="thin">
        <color rgb="FFCCCCCC"/>
      </left>
      <right style="thin">
        <color indexed="65"/>
      </right>
      <top style="thin">
        <color rgb="FFF8F9FA"/>
      </top>
      <bottom style="thin">
        <color rgb="FFF8F9FA"/>
      </bottom>
      <diagonal style="none"/>
    </border>
    <border>
      <left style="none"/>
      <right style="thin">
        <color rgb="FFF8F9FA"/>
      </right>
      <top style="thin">
        <color rgb="FFCCCCCC"/>
      </top>
      <bottom style="thin">
        <color rgb="FF442F65"/>
      </bottom>
      <diagonal style="none"/>
    </border>
    <border>
      <left style="thin">
        <color rgb="FFCCCCCC"/>
      </left>
      <right style="thin">
        <color rgb="FFF8F9FA"/>
      </right>
      <top style="thin">
        <color rgb="FFCCCCCC"/>
      </top>
      <bottom style="thin">
        <color rgb="FF442F65"/>
      </bottom>
      <diagonal style="none"/>
    </border>
    <border>
      <left style="none"/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5B3F86"/>
      </left>
      <right style="none"/>
      <top style="none"/>
      <bottom style="thin">
        <color rgb="FF5B3F86"/>
      </bottom>
      <diagonal style="none"/>
    </border>
    <border>
      <left style="thin">
        <color rgb="FFF8F9FA"/>
      </left>
      <right style="thin">
        <color rgb="FFF8F9FA"/>
      </right>
      <top style="thin">
        <color rgb="FFF8F9FA"/>
      </top>
      <bottom style="none"/>
      <diagonal style="none"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 style="none"/>
    </border>
    <border>
      <left style="thin">
        <color rgb="FFCCCCCC"/>
      </left>
      <right style="thin">
        <color indexed="65"/>
      </right>
      <top style="thin">
        <color rgb="FFCCCCCC"/>
      </top>
      <bottom style="thin">
        <color indexed="65"/>
      </bottom>
      <diagonal style="none"/>
    </border>
    <border>
      <left style="thin">
        <color rgb="FFCCCCCC"/>
      </left>
      <right style="thin">
        <color rgb="FFF8F9FA"/>
      </right>
      <top style="thin">
        <color rgb="FFCCCCCC"/>
      </top>
      <bottom style="thin">
        <color indexed="65"/>
      </bottom>
      <diagonal style="none"/>
    </border>
    <border>
      <left style="none"/>
      <right style="thin">
        <color indexed="65"/>
      </right>
      <top style="thin">
        <color rgb="FFF8F9FA"/>
      </top>
      <bottom style="thin">
        <color rgb="FFF8F9FA"/>
      </bottom>
      <diagonal style="none"/>
    </border>
    <border>
      <left style="thin">
        <color rgb="FFCCCCCC"/>
      </left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n">
        <color rgb="FF442F65"/>
      </left>
      <right style="thin">
        <color indexed="65"/>
      </right>
      <top style="thin">
        <color rgb="FFCCCCCC"/>
      </top>
      <bottom style="thin">
        <color rgb="FF442F65"/>
      </bottom>
      <diagonal style="none"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 style="none"/>
    </border>
    <border>
      <left style="thin">
        <color rgb="FFCCCCCC"/>
      </left>
      <right style="thin">
        <color rgb="FF5B3F86"/>
      </right>
      <top style="thin">
        <color rgb="FF442F65"/>
      </top>
      <bottom style="thin">
        <color rgb="FF442F65"/>
      </bottom>
      <diagonal style="none"/>
    </border>
    <border>
      <left style="thin">
        <color rgb="FFCCCCCC"/>
      </left>
      <right style="thin">
        <color rgb="FFEFEFEF"/>
      </right>
      <top style="thin">
        <color rgb="FF442F65"/>
      </top>
      <bottom style="thin">
        <color rgb="FF442F65"/>
      </bottom>
      <diagonal style="none"/>
    </border>
    <border>
      <left style="thin">
        <color rgb="FFCCCCCC"/>
      </left>
      <right style="thin">
        <color rgb="FF442F65"/>
      </right>
      <top style="thin">
        <color rgb="FF442F65"/>
      </top>
      <bottom style="thin">
        <color rgb="FF442F65"/>
      </bottom>
      <diagonal style="none"/>
    </border>
    <border>
      <left style="thin">
        <color rgb="FFCCCCCC"/>
      </left>
      <right style="thin">
        <color rgb="FFCCCCCC"/>
      </right>
      <top style="thin">
        <color rgb="FFE8EAED"/>
      </top>
      <bottom style="thin">
        <color rgb="FFCCCCCC"/>
      </bottom>
      <diagonal style="none"/>
    </border>
    <border>
      <left style="thin">
        <color rgb="FFCCCCCC"/>
      </left>
      <right style="thin">
        <color rgb="FFF8F9FA"/>
      </right>
      <top style="thin">
        <color indexed="7"/>
      </top>
      <bottom style="thin">
        <color rgb="FFF8F9FA"/>
      </bottom>
      <diagonal style="none"/>
    </border>
    <border>
      <left style="thin">
        <color rgb="FFCCCCCC"/>
      </left>
      <right style="thin">
        <color rgb="FFF8F9FA"/>
      </right>
      <top style="thin">
        <color rgb="FFCCCCCC"/>
      </top>
      <bottom style="thin">
        <color indexed="7"/>
      </bottom>
      <diagonal style="none"/>
    </border>
    <border>
      <left style="thin">
        <color rgb="FFCCCCCC"/>
      </left>
      <right style="none"/>
      <top style="thin">
        <color rgb="FFCCCCCC"/>
      </top>
      <bottom style="thin">
        <color rgb="FFF8F9FA"/>
      </bottom>
      <diagonal style="none"/>
    </border>
    <border>
      <left style="thin">
        <color rgb="FFCCCCCC"/>
      </left>
      <right style="none"/>
      <top style="thin">
        <color rgb="FFCCCCCC"/>
      </top>
      <bottom style="thin">
        <color indexed="2"/>
      </bottom>
      <diagonal style="none"/>
    </border>
  </borders>
  <cellStyleXfs count="1">
    <xf fontId="0" fillId="0" borderId="0" numFmtId="0" applyNumberFormat="1" applyFont="1" applyFill="1" applyBorder="1"/>
  </cellStyleXfs>
  <cellXfs count="450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left" vertical="center"/>
    </xf>
    <xf fontId="1" fillId="2" borderId="2" numFmtId="0" xfId="0" applyFont="1" applyFill="1" applyBorder="1" applyAlignment="1">
      <alignment horizontal="left" readingOrder="0" vertical="center"/>
    </xf>
    <xf fontId="2" fillId="3" borderId="2" numFmtId="0" xfId="0" applyFont="1" applyFill="1" applyBorder="1" applyAlignment="1">
      <alignment horizontal="left" readingOrder="0" vertical="center"/>
    </xf>
    <xf fontId="2" fillId="3" borderId="3" numFmtId="0" xfId="0" applyFont="1" applyFill="1" applyBorder="1" applyAlignment="1">
      <alignment horizontal="left" readingOrder="0" vertical="center"/>
    </xf>
    <xf fontId="3" fillId="4" borderId="4" numFmtId="0" xfId="0" applyFont="1" applyFill="1" applyBorder="1" applyAlignment="1">
      <alignment vertical="center"/>
    </xf>
    <xf fontId="4" fillId="5" borderId="5" numFmtId="0" xfId="0" applyFont="1" applyFill="1" applyBorder="1"/>
    <xf fontId="1" fillId="5" borderId="0" numFmtId="0" xfId="0" applyFont="1" applyFill="1" applyAlignment="1">
      <alignment readingOrder="0" vertical="center"/>
    </xf>
    <xf fontId="1" fillId="5" borderId="0" numFmtId="164" xfId="0" applyNumberFormat="1" applyFont="1" applyFill="1" applyAlignment="1">
      <alignment readingOrder="0" vertical="center"/>
    </xf>
    <xf fontId="5" fillId="5" borderId="0" numFmtId="0" xfId="0" applyFont="1" applyFill="1" applyAlignment="1">
      <alignment readingOrder="0" vertical="center"/>
    </xf>
    <xf fontId="6" fillId="5" borderId="0" numFmtId="0" xfId="0" applyFont="1" applyFill="1" applyAlignment="1">
      <alignment readingOrder="0" vertical="center"/>
    </xf>
    <xf fontId="1" fillId="5" borderId="6" numFmtId="0" xfId="0" applyFont="1" applyFill="1" applyBorder="1" applyAlignment="1">
      <alignment readingOrder="0" vertical="center"/>
    </xf>
    <xf fontId="4" fillId="5" borderId="5" numFmtId="0" xfId="0" applyFont="1" applyFill="1" applyBorder="1" applyAlignment="1">
      <alignment readingOrder="0"/>
    </xf>
    <xf fontId="1" fillId="5" borderId="0" numFmtId="0" xfId="0" applyFont="1" applyFill="1" applyAlignment="1">
      <alignment vertical="center"/>
    </xf>
    <xf fontId="7" fillId="6" borderId="4" numFmtId="0" xfId="0" applyFont="1" applyFill="1" applyBorder="1" applyAlignment="1">
      <alignment vertical="center"/>
    </xf>
    <xf fontId="8" fillId="7" borderId="0" numFmtId="0" xfId="0" applyFont="1" applyFill="1" applyAlignment="1">
      <alignment horizontal="center" vertical="center" wrapText="1"/>
    </xf>
    <xf fontId="1" fillId="7" borderId="0" numFmtId="0" xfId="0" applyFont="1" applyFill="1" applyAlignment="1">
      <alignment readingOrder="0" vertical="center"/>
    </xf>
    <xf fontId="1" fillId="7" borderId="0" numFmtId="164" xfId="0" applyNumberFormat="1" applyFont="1" applyFill="1" applyAlignment="1">
      <alignment readingOrder="0" vertical="center"/>
    </xf>
    <xf fontId="5" fillId="7" borderId="0" numFmtId="0" xfId="0" applyFont="1" applyFill="1" applyAlignment="1">
      <alignment readingOrder="0" vertical="center"/>
    </xf>
    <xf fontId="6" fillId="7" borderId="0" numFmtId="0" xfId="0" applyFont="1" applyFill="1" applyAlignment="1">
      <alignment readingOrder="0" vertical="center"/>
    </xf>
    <xf fontId="1" fillId="7" borderId="6" numFmtId="0" xfId="0" applyFont="1" applyFill="1" applyBorder="1" applyAlignment="1">
      <alignment readingOrder="0" vertical="center"/>
    </xf>
    <xf fontId="1" fillId="7" borderId="0" numFmtId="0" xfId="0" applyFont="1" applyFill="1" applyAlignment="1">
      <alignment vertical="center"/>
    </xf>
    <xf fontId="9" fillId="6" borderId="4" numFmtId="0" xfId="0" applyFont="1" applyFill="1" applyBorder="1" applyAlignment="1">
      <alignment vertical="center"/>
    </xf>
    <xf fontId="4" fillId="8" borderId="5" numFmtId="0" xfId="0" applyFont="1" applyFill="1" applyBorder="1" applyAlignment="1">
      <alignment horizontal="center" readingOrder="0" vertical="center" wrapText="1"/>
    </xf>
    <xf fontId="4" fillId="8" borderId="7" numFmtId="0" xfId="0" applyFont="1" applyFill="1" applyBorder="1" applyAlignment="1">
      <alignment horizontal="center" vertical="center" wrapText="1"/>
    </xf>
    <xf fontId="10" fillId="8" borderId="8" numFmtId="0" xfId="0" applyFont="1" applyFill="1" applyBorder="1" applyAlignment="1">
      <alignment horizontal="center" readingOrder="0" vertical="center"/>
    </xf>
    <xf fontId="1" fillId="8" borderId="0" numFmtId="164" xfId="0" applyNumberFormat="1" applyFont="1" applyFill="1" applyAlignment="1">
      <alignment horizontal="right" readingOrder="0" vertical="center"/>
    </xf>
    <xf fontId="1" fillId="8" borderId="0" numFmtId="0" xfId="0" applyFont="1" applyFill="1" applyAlignment="1">
      <alignment readingOrder="0" vertical="center"/>
    </xf>
    <xf fontId="5" fillId="8" borderId="0" numFmtId="0" xfId="0" applyFont="1" applyFill="1" applyAlignment="1">
      <alignment readingOrder="0" vertical="center"/>
    </xf>
    <xf fontId="6" fillId="8" borderId="0" numFmtId="0" xfId="0" applyFont="1" applyFill="1" applyAlignment="1">
      <alignment readingOrder="0" vertical="center"/>
    </xf>
    <xf fontId="1" fillId="8" borderId="6" numFmtId="0" xfId="0" applyFont="1" applyFill="1" applyBorder="1" applyAlignment="1">
      <alignment readingOrder="0" vertical="center"/>
    </xf>
    <xf fontId="4" fillId="8" borderId="0" numFmtId="0" xfId="0" applyFont="1" applyFill="1" applyAlignment="1">
      <alignment horizontal="center" vertical="center" wrapText="1"/>
    </xf>
    <xf fontId="1" fillId="8" borderId="0" numFmtId="164" xfId="0" applyNumberFormat="1" applyFont="1" applyFill="1" applyAlignment="1">
      <alignment readingOrder="0" vertical="center"/>
    </xf>
    <xf fontId="11" fillId="8" borderId="0" numFmtId="0" xfId="0" applyFont="1" applyFill="1" applyAlignment="1">
      <alignment readingOrder="0" vertical="center"/>
    </xf>
    <xf fontId="4" fillId="8" borderId="0" numFmtId="0" xfId="0" applyFont="1" applyFill="1" applyAlignment="1">
      <alignment horizontal="center" readingOrder="0" vertical="center" wrapText="1"/>
    </xf>
    <xf fontId="4" fillId="9" borderId="0" numFmtId="0" xfId="0" applyFont="1" applyFill="1" applyAlignment="1">
      <alignment horizontal="center" readingOrder="0" vertical="center" wrapText="1"/>
    </xf>
    <xf fontId="4" fillId="9" borderId="0" numFmtId="0" xfId="0" applyFont="1" applyFill="1" applyAlignment="1">
      <alignment horizontal="center" vertical="center" wrapText="1"/>
    </xf>
    <xf fontId="10" fillId="9" borderId="8" numFmtId="0" xfId="0" applyFont="1" applyFill="1" applyBorder="1" applyAlignment="1">
      <alignment horizontal="center" readingOrder="0" vertical="center"/>
    </xf>
    <xf fontId="10" fillId="9" borderId="0" numFmtId="165" xfId="0" applyNumberFormat="1" applyFont="1" applyFill="1" applyAlignment="1">
      <alignment horizontal="right" readingOrder="0" vertical="center"/>
    </xf>
    <xf fontId="1" fillId="9" borderId="0" numFmtId="0" xfId="0" applyFont="1" applyFill="1" applyAlignment="1">
      <alignment readingOrder="0" vertical="center"/>
    </xf>
    <xf fontId="5" fillId="9" borderId="0" numFmtId="0" xfId="0" applyFont="1" applyFill="1" applyAlignment="1">
      <alignment readingOrder="0" vertical="center"/>
    </xf>
    <xf fontId="6" fillId="9" borderId="0" numFmtId="0" xfId="0" applyFont="1" applyFill="1" applyAlignment="1">
      <alignment readingOrder="0" vertical="center"/>
    </xf>
    <xf fontId="1" fillId="9" borderId="6" numFmtId="0" xfId="0" applyFont="1" applyFill="1" applyBorder="1" applyAlignment="1">
      <alignment readingOrder="0" vertical="center"/>
    </xf>
    <xf fontId="7" fillId="4" borderId="4" numFmtId="0" xfId="0" applyFont="1" applyFill="1" applyBorder="1" applyAlignment="1">
      <alignment vertical="center"/>
    </xf>
    <xf fontId="4" fillId="10" borderId="0" numFmtId="0" xfId="0" applyFont="1" applyFill="1" applyAlignment="1">
      <alignment readingOrder="0" vertical="center"/>
    </xf>
    <xf fontId="4" fillId="10" borderId="0" numFmtId="0" xfId="0" applyFont="1" applyFill="1" applyAlignment="1">
      <alignment vertical="center" wrapText="1"/>
    </xf>
    <xf fontId="10" fillId="10" borderId="8" numFmtId="0" xfId="0" applyFont="1" applyFill="1" applyBorder="1" applyAlignment="1">
      <alignment horizontal="center" readingOrder="0" vertical="center"/>
    </xf>
    <xf fontId="10" fillId="10" borderId="0" numFmtId="165" xfId="0" applyNumberFormat="1" applyFont="1" applyFill="1" applyAlignment="1">
      <alignment horizontal="right" readingOrder="0" vertical="center"/>
    </xf>
    <xf fontId="1" fillId="10" borderId="0" numFmtId="0" xfId="0" applyFont="1" applyFill="1" applyAlignment="1">
      <alignment readingOrder="0" vertical="center"/>
    </xf>
    <xf fontId="5" fillId="10" borderId="0" numFmtId="0" xfId="0" applyFont="1" applyFill="1" applyAlignment="1">
      <alignment readingOrder="0" vertical="center"/>
    </xf>
    <xf fontId="6" fillId="10" borderId="0" numFmtId="0" xfId="0" applyFont="1" applyFill="1" applyAlignment="1">
      <alignment readingOrder="0" vertical="center"/>
    </xf>
    <xf fontId="1" fillId="10" borderId="6" numFmtId="0" xfId="0" applyFont="1" applyFill="1" applyBorder="1" applyAlignment="1">
      <alignment readingOrder="0" vertical="center"/>
    </xf>
    <xf fontId="4" fillId="10" borderId="0" numFmtId="0" xfId="0" applyFont="1" applyFill="1" applyAlignment="1">
      <alignment readingOrder="0"/>
    </xf>
    <xf fontId="4" fillId="10" borderId="0" numFmtId="0" xfId="0" applyFont="1" applyFill="1" applyAlignment="1">
      <alignment wrapText="1"/>
    </xf>
    <xf fontId="4" fillId="10" borderId="0" numFmtId="0" xfId="0" applyFont="1" applyFill="1"/>
    <xf fontId="9" fillId="4" borderId="4" numFmtId="0" xfId="0" applyFont="1" applyFill="1" applyBorder="1" applyAlignment="1">
      <alignment vertical="center"/>
    </xf>
    <xf fontId="4" fillId="11" borderId="5" numFmtId="0" xfId="0" applyFont="1" applyFill="1" applyBorder="1"/>
    <xf fontId="4" fillId="11" borderId="7" numFmtId="0" xfId="0" applyFont="1" applyFill="1" applyBorder="1"/>
    <xf fontId="10" fillId="11" borderId="8" numFmtId="0" xfId="0" applyFont="1" applyFill="1" applyBorder="1" applyAlignment="1">
      <alignment horizontal="center" readingOrder="0" vertical="center"/>
    </xf>
    <xf fontId="10" fillId="11" borderId="0" numFmtId="165" xfId="0" applyNumberFormat="1" applyFont="1" applyFill="1" applyAlignment="1">
      <alignment horizontal="right" readingOrder="0" vertical="center"/>
    </xf>
    <xf fontId="1" fillId="11" borderId="0" numFmtId="0" xfId="0" applyFont="1" applyFill="1" applyAlignment="1">
      <alignment readingOrder="0" vertical="center"/>
    </xf>
    <xf fontId="5" fillId="11" borderId="0" numFmtId="0" xfId="0" applyFont="1" applyFill="1" applyAlignment="1">
      <alignment readingOrder="0" vertical="center"/>
    </xf>
    <xf fontId="6" fillId="11" borderId="0" numFmtId="0" xfId="0" applyFont="1" applyFill="1" applyAlignment="1">
      <alignment readingOrder="0" vertical="center"/>
    </xf>
    <xf fontId="1" fillId="11" borderId="6" numFmtId="0" xfId="0" applyFont="1" applyFill="1" applyBorder="1" applyAlignment="1">
      <alignment readingOrder="0" vertical="center"/>
    </xf>
    <xf fontId="4" fillId="11" borderId="0" numFmtId="0" xfId="0" applyFont="1" applyFill="1"/>
    <xf fontId="3" fillId="6" borderId="4" numFmtId="0" xfId="0" applyFont="1" applyFill="1" applyBorder="1" applyAlignment="1">
      <alignment vertical="center"/>
    </xf>
    <xf fontId="12" fillId="12" borderId="5" numFmtId="0" xfId="0" applyFont="1" applyFill="1" applyBorder="1"/>
    <xf fontId="12" fillId="12" borderId="7" numFmtId="0" xfId="0" applyFont="1" applyFill="1" applyBorder="1" applyAlignment="1">
      <alignment wrapText="1"/>
    </xf>
    <xf fontId="10" fillId="12" borderId="8" numFmtId="0" xfId="0" applyFont="1" applyFill="1" applyBorder="1" applyAlignment="1">
      <alignment horizontal="center" readingOrder="0" vertical="center"/>
    </xf>
    <xf fontId="10" fillId="12" borderId="0" numFmtId="165" xfId="0" applyNumberFormat="1" applyFont="1" applyFill="1" applyAlignment="1">
      <alignment horizontal="right" readingOrder="0" vertical="center"/>
    </xf>
    <xf fontId="1" fillId="12" borderId="0" numFmtId="0" xfId="0" applyFont="1" applyFill="1" applyAlignment="1">
      <alignment readingOrder="0" vertical="center"/>
    </xf>
    <xf fontId="5" fillId="12" borderId="0" numFmtId="0" xfId="0" applyFont="1" applyFill="1" applyAlignment="1">
      <alignment readingOrder="0" vertical="center"/>
    </xf>
    <xf fontId="6" fillId="12" borderId="0" numFmtId="0" xfId="0" applyFont="1" applyFill="1" applyAlignment="1">
      <alignment readingOrder="0" vertical="center"/>
    </xf>
    <xf fontId="1" fillId="12" borderId="6" numFmtId="0" xfId="0" applyFont="1" applyFill="1" applyBorder="1" applyAlignment="1">
      <alignment readingOrder="0" vertical="center"/>
    </xf>
    <xf fontId="12" fillId="12" borderId="7" numFmtId="0" xfId="0" applyFont="1" applyFill="1" applyBorder="1"/>
    <xf fontId="13" fillId="6" borderId="0" numFmtId="0" xfId="0" applyFont="1" applyFill="1" applyAlignment="1">
      <alignment readingOrder="0" vertical="center"/>
    </xf>
    <xf fontId="13" fillId="6" borderId="0" numFmtId="0" xfId="0" applyFont="1" applyFill="1" applyAlignment="1">
      <alignment vertical="center"/>
    </xf>
    <xf fontId="10" fillId="13" borderId="8" numFmtId="0" xfId="0" applyFont="1" applyFill="1" applyBorder="1" applyAlignment="1">
      <alignment horizontal="center" readingOrder="0" vertical="center"/>
    </xf>
    <xf fontId="13" fillId="4" borderId="0" numFmtId="0" xfId="0" applyFont="1" applyFill="1" applyAlignment="1">
      <alignment vertical="center"/>
    </xf>
    <xf fontId="1" fillId="4" borderId="0" numFmtId="0" xfId="0" applyFont="1" applyFill="1" applyAlignment="1">
      <alignment vertical="center"/>
    </xf>
    <xf fontId="4" fillId="14" borderId="5" numFmtId="0" xfId="0" applyFont="1" applyFill="1" applyBorder="1" applyAlignment="1">
      <alignment vertical="center"/>
    </xf>
    <xf fontId="4" fillId="14" borderId="7" numFmtId="0" xfId="0" applyFont="1" applyFill="1" applyBorder="1" applyAlignment="1">
      <alignment vertical="center"/>
    </xf>
    <xf fontId="10" fillId="14" borderId="8" numFmtId="0" xfId="0" applyFont="1" applyFill="1" applyBorder="1" applyAlignment="1">
      <alignment horizontal="center" readingOrder="0" vertical="center"/>
    </xf>
    <xf fontId="10" fillId="14" borderId="0" numFmtId="165" xfId="0" applyNumberFormat="1" applyFont="1" applyFill="1" applyAlignment="1">
      <alignment horizontal="right" readingOrder="0" vertical="center"/>
    </xf>
    <xf fontId="1" fillId="14" borderId="0" numFmtId="0" xfId="0" applyFont="1" applyFill="1" applyAlignment="1">
      <alignment readingOrder="0" vertical="center"/>
    </xf>
    <xf fontId="5" fillId="14" borderId="0" numFmtId="0" xfId="0" applyFont="1" applyFill="1" applyAlignment="1">
      <alignment readingOrder="0" vertical="center"/>
    </xf>
    <xf fontId="6" fillId="14" borderId="0" numFmtId="0" xfId="0" applyFont="1" applyFill="1" applyAlignment="1">
      <alignment readingOrder="0" vertical="center"/>
    </xf>
    <xf fontId="1" fillId="14" borderId="6" numFmtId="0" xfId="0" applyFont="1" applyFill="1" applyBorder="1" applyAlignment="1">
      <alignment readingOrder="0" vertical="center"/>
    </xf>
    <xf fontId="4" fillId="14" borderId="7" numFmtId="0" xfId="0" applyFont="1" applyFill="1" applyBorder="1" applyAlignment="1">
      <alignment readingOrder="0" vertical="center"/>
    </xf>
    <xf fontId="14" fillId="14" borderId="0" numFmtId="0" xfId="0" applyFont="1" applyFill="1"/>
    <xf fontId="10" fillId="14" borderId="0" numFmtId="165" xfId="0" applyNumberFormat="1" applyFont="1" applyFill="1" applyAlignment="1">
      <alignment horizontal="right" vertical="center"/>
    </xf>
    <xf fontId="10" fillId="14" borderId="9" numFmtId="0" xfId="0" applyFont="1" applyFill="1" applyBorder="1" applyAlignment="1">
      <alignment horizontal="center" readingOrder="0" vertical="center"/>
    </xf>
    <xf fontId="4" fillId="14" borderId="5" numFmtId="165" xfId="0" applyNumberFormat="1" applyFont="1" applyFill="1" applyBorder="1" applyAlignment="1">
      <alignment readingOrder="0" vertical="center"/>
    </xf>
    <xf fontId="15" fillId="14" borderId="5" numFmtId="0" xfId="0" applyFont="1" applyFill="1" applyBorder="1" applyAlignment="1">
      <alignment vertical="center"/>
    </xf>
    <xf fontId="15" fillId="14" borderId="7" numFmtId="0" xfId="0" applyFont="1" applyFill="1" applyBorder="1" applyAlignment="1">
      <alignment vertical="center"/>
    </xf>
    <xf fontId="15" fillId="14" borderId="7" numFmtId="0" xfId="0" applyFont="1" applyFill="1" applyBorder="1" applyAlignment="1">
      <alignment readingOrder="0" vertical="center"/>
    </xf>
    <xf fontId="16" fillId="14" borderId="7" numFmtId="0" xfId="0" applyFont="1" applyFill="1" applyBorder="1" applyAlignment="1">
      <alignment vertical="center"/>
    </xf>
    <xf fontId="17" fillId="14" borderId="5" numFmtId="165" xfId="0" applyNumberFormat="1" applyFont="1" applyFill="1" applyBorder="1" applyAlignment="1">
      <alignment readingOrder="0" vertical="center"/>
    </xf>
    <xf fontId="18" fillId="14" borderId="7" numFmtId="0" xfId="0" applyFont="1" applyFill="1" applyBorder="1" applyAlignment="1">
      <alignment vertical="center"/>
    </xf>
    <xf fontId="17" fillId="14" borderId="5" numFmtId="0" xfId="0" applyFont="1" applyFill="1" applyBorder="1" applyAlignment="1">
      <alignment vertical="center"/>
    </xf>
    <xf fontId="17" fillId="14" borderId="7" numFmtId="0" xfId="0" applyFont="1" applyFill="1" applyBorder="1" applyAlignment="1">
      <alignment vertical="center"/>
    </xf>
    <xf fontId="17" fillId="14" borderId="5" numFmtId="0" xfId="0" applyFont="1" applyFill="1" applyBorder="1" applyAlignment="1">
      <alignment horizontal="center" vertical="center"/>
    </xf>
    <xf fontId="17" fillId="14" borderId="5" numFmtId="165" xfId="0" applyNumberFormat="1" applyFont="1" applyFill="1" applyBorder="1" applyAlignment="1">
      <alignment horizontal="center" readingOrder="0" vertical="center"/>
    </xf>
    <xf fontId="4" fillId="14" borderId="0" numFmtId="0" xfId="0" applyFont="1" applyFill="1" applyAlignment="1">
      <alignment vertical="center"/>
    </xf>
    <xf fontId="19" fillId="6" borderId="4" numFmtId="0" xfId="0" applyFont="1" applyFill="1" applyBorder="1" applyAlignment="1">
      <alignment vertical="center"/>
    </xf>
    <xf fontId="4" fillId="15" borderId="0" numFmtId="0" xfId="0" applyFont="1" applyFill="1" applyAlignment="1">
      <alignment readingOrder="0" vertical="center"/>
    </xf>
    <xf fontId="16" fillId="15" borderId="0" numFmtId="0" xfId="0" applyFont="1" applyFill="1" applyAlignment="1">
      <alignment horizontal="left" vertical="center"/>
    </xf>
    <xf fontId="10" fillId="15" borderId="8" numFmtId="0" xfId="0" applyFont="1" applyFill="1" applyBorder="1" applyAlignment="1">
      <alignment horizontal="center" readingOrder="0" vertical="center"/>
    </xf>
    <xf fontId="17" fillId="15" borderId="0" numFmtId="165" xfId="0" applyNumberFormat="1" applyFont="1" applyFill="1" applyAlignment="1">
      <alignment readingOrder="0" vertical="center"/>
    </xf>
    <xf fontId="1" fillId="15" borderId="0" numFmtId="0" xfId="0" applyFont="1" applyFill="1" applyAlignment="1">
      <alignment readingOrder="0" vertical="center"/>
    </xf>
    <xf fontId="5" fillId="15" borderId="0" numFmtId="0" xfId="0" applyFont="1" applyFill="1" applyAlignment="1">
      <alignment readingOrder="0" vertical="center"/>
    </xf>
    <xf fontId="6" fillId="15" borderId="0" numFmtId="0" xfId="0" applyFont="1" applyFill="1" applyAlignment="1">
      <alignment readingOrder="0" vertical="center"/>
    </xf>
    <xf fontId="1" fillId="15" borderId="6" numFmtId="0" xfId="0" applyFont="1" applyFill="1" applyBorder="1" applyAlignment="1">
      <alignment readingOrder="0" vertical="center"/>
    </xf>
    <xf fontId="20" fillId="16" borderId="7" numFmtId="0" xfId="0" applyFont="1" applyFill="1" applyBorder="1" applyAlignment="1">
      <alignment vertical="center" wrapText="1"/>
    </xf>
    <xf fontId="21" fillId="16" borderId="10" numFmtId="0" xfId="0" applyFont="1" applyFill="1" applyBorder="1"/>
    <xf fontId="10" fillId="16" borderId="10" numFmtId="0" xfId="0" applyFont="1" applyFill="1" applyBorder="1" applyAlignment="1">
      <alignment horizontal="center" vertical="center"/>
    </xf>
    <xf fontId="10" fillId="16" borderId="10" numFmtId="164" xfId="0" applyNumberFormat="1" applyFont="1" applyFill="1" applyBorder="1" applyAlignment="1">
      <alignment horizontal="right" vertical="center"/>
    </xf>
    <xf fontId="1" fillId="16" borderId="0" numFmtId="0" xfId="0" applyFont="1" applyFill="1" applyAlignment="1">
      <alignment readingOrder="0" vertical="center"/>
    </xf>
    <xf fontId="5" fillId="16" borderId="0" numFmtId="0" xfId="0" applyFont="1" applyFill="1" applyAlignment="1">
      <alignment readingOrder="0" vertical="center"/>
    </xf>
    <xf fontId="6" fillId="16" borderId="0" numFmtId="0" xfId="0" applyFont="1" applyFill="1" applyAlignment="1">
      <alignment readingOrder="0" vertical="center"/>
    </xf>
    <xf fontId="1" fillId="16" borderId="6" numFmtId="0" xfId="0" applyFont="1" applyFill="1" applyBorder="1" applyAlignment="1">
      <alignment readingOrder="0" vertical="center"/>
    </xf>
    <xf fontId="21" fillId="16" borderId="11" numFmtId="0" xfId="0" applyFont="1" applyFill="1" applyBorder="1"/>
    <xf fontId="10" fillId="16" borderId="11" numFmtId="0" xfId="0" applyFont="1" applyFill="1" applyBorder="1" applyAlignment="1">
      <alignment horizontal="center" vertical="center"/>
    </xf>
    <xf fontId="10" fillId="16" borderId="11" numFmtId="164" xfId="0" applyNumberFormat="1" applyFont="1" applyFill="1" applyBorder="1" applyAlignment="1">
      <alignment horizontal="right" vertical="center"/>
    </xf>
    <xf fontId="22" fillId="17" borderId="5" numFmtId="0" xfId="0" applyFont="1" applyFill="1" applyBorder="1"/>
    <xf fontId="22" fillId="17" borderId="7" numFmtId="0" xfId="0" applyFont="1" applyFill="1" applyBorder="1" applyAlignment="1">
      <alignment wrapText="1"/>
    </xf>
    <xf fontId="10" fillId="17" borderId="8" numFmtId="0" xfId="0" applyFont="1" applyFill="1" applyBorder="1" applyAlignment="1">
      <alignment horizontal="center" vertical="center"/>
    </xf>
    <xf fontId="10" fillId="17" borderId="8" numFmtId="164" xfId="0" applyNumberFormat="1" applyFont="1" applyFill="1" applyBorder="1" applyAlignment="1">
      <alignment horizontal="right" vertical="center"/>
    </xf>
    <xf fontId="1" fillId="17" borderId="0" numFmtId="0" xfId="0" applyFont="1" applyFill="1" applyAlignment="1">
      <alignment readingOrder="0" vertical="center"/>
    </xf>
    <xf fontId="5" fillId="17" borderId="0" numFmtId="0" xfId="0" applyFont="1" applyFill="1" applyAlignment="1">
      <alignment readingOrder="0" vertical="center"/>
    </xf>
    <xf fontId="6" fillId="17" borderId="0" numFmtId="0" xfId="0" applyFont="1" applyFill="1" applyAlignment="1">
      <alignment readingOrder="0" vertical="center"/>
    </xf>
    <xf fontId="1" fillId="17" borderId="6" numFmtId="0" xfId="0" applyFont="1" applyFill="1" applyBorder="1" applyAlignment="1">
      <alignment readingOrder="0" vertical="center"/>
    </xf>
    <xf fontId="22" fillId="17" borderId="7" numFmtId="0" xfId="0" applyFont="1" applyFill="1" applyBorder="1"/>
    <xf fontId="10" fillId="17" borderId="12" numFmtId="0" xfId="0" applyFont="1" applyFill="1" applyBorder="1" applyAlignment="1">
      <alignment horizontal="center" vertical="center"/>
    </xf>
    <xf fontId="10" fillId="17" borderId="12" numFmtId="164" xfId="0" applyNumberFormat="1" applyFont="1" applyFill="1" applyBorder="1" applyAlignment="1">
      <alignment horizontal="right" vertical="center"/>
    </xf>
    <xf fontId="11" fillId="17" borderId="0" numFmtId="0" xfId="0" applyFont="1" applyFill="1" applyAlignment="1">
      <alignment readingOrder="0" vertical="center"/>
    </xf>
    <xf fontId="23" fillId="17" borderId="13" numFmtId="0" xfId="0" applyFont="1" applyFill="1" applyBorder="1"/>
    <xf fontId="21" fillId="17" borderId="5" numFmtId="0" xfId="0" applyFont="1" applyFill="1" applyBorder="1"/>
    <xf fontId="22" fillId="17" borderId="14" numFmtId="0" xfId="0" applyFont="1" applyFill="1" applyBorder="1"/>
    <xf fontId="24" fillId="17" borderId="12" numFmtId="0" xfId="0" applyFont="1" applyFill="1" applyBorder="1"/>
    <xf fontId="21" fillId="17" borderId="15" numFmtId="0" xfId="0" applyFont="1" applyFill="1" applyBorder="1"/>
    <xf fontId="24" fillId="17" borderId="7" numFmtId="0" xfId="0" applyFont="1" applyFill="1" applyBorder="1" applyAlignment="1">
      <alignment vertical="top"/>
    </xf>
    <xf fontId="25" fillId="17" borderId="9" numFmtId="0" xfId="0" applyFont="1" applyFill="1" applyBorder="1"/>
    <xf fontId="21" fillId="17" borderId="8" numFmtId="164" xfId="0" applyNumberFormat="1" applyFont="1" applyFill="1" applyBorder="1" applyAlignment="1">
      <alignment horizontal="right"/>
    </xf>
    <xf fontId="25" fillId="17" borderId="16" numFmtId="0" xfId="0" applyFont="1" applyFill="1" applyBorder="1"/>
    <xf fontId="23" fillId="17" borderId="5" numFmtId="0" xfId="0" applyFont="1" applyFill="1" applyBorder="1"/>
    <xf fontId="25" fillId="17" borderId="5" numFmtId="0" xfId="0" applyFont="1" applyFill="1" applyBorder="1"/>
    <xf fontId="25" fillId="17" borderId="7" numFmtId="0" xfId="0" applyFont="1" applyFill="1" applyBorder="1"/>
    <xf fontId="21" fillId="17" borderId="12" numFmtId="164" xfId="0" applyNumberFormat="1" applyFont="1" applyFill="1" applyBorder="1" applyAlignment="1">
      <alignment horizontal="right"/>
    </xf>
    <xf fontId="26" fillId="4" borderId="4" numFmtId="0" xfId="0" applyFont="1" applyFill="1" applyBorder="1" applyAlignment="1">
      <alignment vertical="center"/>
    </xf>
    <xf fontId="27" fillId="18" borderId="5" numFmtId="0" xfId="0" applyFont="1" applyFill="1" applyBorder="1"/>
    <xf fontId="27" fillId="18" borderId="7" numFmtId="0" xfId="0" applyFont="1" applyFill="1" applyBorder="1" applyAlignment="1">
      <alignment horizontal="center"/>
    </xf>
    <xf fontId="10" fillId="18" borderId="17" numFmtId="0" xfId="0" applyFont="1" applyFill="1" applyBorder="1" applyAlignment="1">
      <alignment horizontal="center" vertical="center"/>
    </xf>
    <xf fontId="10" fillId="18" borderId="17" numFmtId="164" xfId="0" applyNumberFormat="1" applyFont="1" applyFill="1" applyBorder="1" applyAlignment="1">
      <alignment horizontal="right" vertical="center"/>
    </xf>
    <xf fontId="28" fillId="18" borderId="7" numFmtId="0" xfId="0" applyFont="1" applyFill="1" applyBorder="1" applyAlignment="1">
      <alignment horizontal="center"/>
    </xf>
    <xf fontId="25" fillId="18" borderId="5" numFmtId="0" xfId="0" applyFont="1" applyFill="1" applyBorder="1"/>
    <xf fontId="25" fillId="18" borderId="7" numFmtId="0" xfId="0" applyFont="1" applyFill="1" applyBorder="1" applyAlignment="1">
      <alignment horizontal="center"/>
    </xf>
    <xf fontId="10" fillId="18" borderId="18" numFmtId="0" xfId="0" applyFont="1" applyFill="1" applyBorder="1" applyAlignment="1">
      <alignment horizontal="center" vertical="center"/>
    </xf>
    <xf fontId="10" fillId="18" borderId="18" numFmtId="164" xfId="0" applyNumberFormat="1" applyFont="1" applyFill="1" applyBorder="1" applyAlignment="1">
      <alignment horizontal="right" vertical="center"/>
    </xf>
    <xf fontId="27" fillId="18" borderId="7" numFmtId="0" xfId="0" applyFont="1" applyFill="1" applyBorder="1" applyAlignment="1">
      <alignment horizontal="center" readingOrder="0"/>
    </xf>
    <xf fontId="29" fillId="18" borderId="7" numFmtId="0" xfId="0" applyFont="1" applyFill="1" applyBorder="1" applyAlignment="1">
      <alignment horizontal="center"/>
    </xf>
    <xf fontId="30" fillId="18" borderId="7" numFmtId="0" xfId="0" applyFont="1" applyFill="1" applyBorder="1" applyAlignment="1">
      <alignment horizontal="center" vertical="center" wrapText="1"/>
    </xf>
    <xf fontId="10" fillId="18" borderId="19" numFmtId="164" xfId="0" applyNumberFormat="1" applyFont="1" applyFill="1" applyBorder="1" applyAlignment="1">
      <alignment horizontal="right" vertical="center"/>
    </xf>
    <xf fontId="31" fillId="16" borderId="0" numFmtId="0" xfId="0" applyFont="1" applyFill="1"/>
    <xf fontId="31" fillId="7" borderId="0" numFmtId="0" xfId="0" applyFont="1" applyFill="1"/>
    <xf fontId="4" fillId="16" borderId="5" numFmtId="0" xfId="0" applyFont="1" applyFill="1" applyBorder="1"/>
    <xf fontId="16" fillId="16" borderId="7" numFmtId="0" xfId="0" applyFont="1" applyFill="1" applyBorder="1" applyAlignment="1">
      <alignment readingOrder="0"/>
    </xf>
    <xf fontId="4" fillId="13" borderId="0" numFmtId="0" xfId="0" applyFont="1" applyFill="1" applyAlignment="1">
      <alignment readingOrder="0"/>
    </xf>
    <xf fontId="16" fillId="13" borderId="0" numFmtId="0" xfId="0" applyFont="1" applyFill="1"/>
    <xf fontId="4" fillId="13" borderId="0" numFmtId="0" xfId="0" applyFont="1" applyFill="1"/>
    <xf fontId="4" fillId="13" borderId="7" numFmtId="0" xfId="0" applyFont="1" applyFill="1" applyBorder="1"/>
    <xf fontId="16" fillId="16" borderId="7" numFmtId="0" xfId="0" applyFont="1" applyFill="1" applyBorder="1"/>
    <xf fontId="31" fillId="19" borderId="0" numFmtId="0" xfId="0" applyFont="1" applyFill="1"/>
    <xf fontId="16" fillId="16" borderId="14" numFmtId="0" xfId="0" applyFont="1" applyFill="1" applyBorder="1"/>
    <xf fontId="31" fillId="16" borderId="20" numFmtId="0" xfId="0" applyFont="1" applyFill="1" applyBorder="1"/>
    <xf fontId="16" fillId="16" borderId="21" numFmtId="0" xfId="0" applyFont="1" applyFill="1" applyBorder="1"/>
    <xf fontId="32" fillId="6" borderId="4" numFmtId="0" xfId="0" applyFont="1" applyFill="1" applyBorder="1" applyAlignment="1">
      <alignment horizontal="left" vertical="center"/>
    </xf>
    <xf fontId="31" fillId="16" borderId="22" numFmtId="0" xfId="0" applyFont="1" applyFill="1" applyBorder="1"/>
    <xf fontId="16" fillId="16" borderId="22" numFmtId="0" xfId="0" applyFont="1" applyFill="1" applyBorder="1"/>
    <xf fontId="17" fillId="15" borderId="22" numFmtId="165" xfId="0" applyNumberFormat="1" applyFont="1" applyFill="1" applyBorder="1" applyAlignment="1">
      <alignment vertical="center"/>
    </xf>
    <xf fontId="1" fillId="17" borderId="22" numFmtId="0" xfId="0" applyFont="1" applyFill="1" applyBorder="1" applyAlignment="1">
      <alignment readingOrder="0" vertical="center"/>
    </xf>
    <xf fontId="1" fillId="17" borderId="23" numFmtId="0" xfId="0" applyFont="1" applyFill="1" applyBorder="1" applyAlignment="1">
      <alignment readingOrder="0" vertical="center"/>
    </xf>
    <xf fontId="32" fillId="6" borderId="24" numFmtId="0" xfId="0" applyFont="1" applyFill="1" applyBorder="1" applyAlignment="1">
      <alignment horizontal="left" readingOrder="0" vertical="center" wrapText="1"/>
    </xf>
    <xf fontId="22" fillId="6" borderId="25" numFmtId="0" xfId="0" applyFont="1" applyFill="1" applyBorder="1" applyAlignment="1">
      <alignment horizontal="left" readingOrder="0" wrapText="1"/>
    </xf>
    <xf fontId="24" fillId="6" borderId="26" numFmtId="0" xfId="0" applyFont="1" applyFill="1" applyBorder="1" applyAlignment="1">
      <alignment horizontal="left" readingOrder="0" wrapText="1"/>
    </xf>
    <xf fontId="33" fillId="13" borderId="27" numFmtId="0" xfId="0" applyFont="1" applyFill="1" applyBorder="1" applyAlignment="1">
      <alignment horizontal="center" readingOrder="0" vertical="center" wrapText="1"/>
    </xf>
    <xf fontId="34" fillId="6" borderId="25" numFmtId="15" xfId="0" applyNumberFormat="1" applyFont="1" applyFill="1" applyBorder="1" applyAlignment="1">
      <alignment horizontal="right" readingOrder="0" vertical="center" wrapText="1"/>
    </xf>
    <xf fontId="33" fillId="6" borderId="25" numFmtId="0" xfId="0" applyFont="1" applyFill="1" applyBorder="1" applyAlignment="1">
      <alignment horizontal="left" readingOrder="0" vertical="center" wrapText="1"/>
    </xf>
    <xf fontId="6" fillId="6" borderId="25" numFmtId="0" xfId="0" applyFont="1" applyFill="1" applyBorder="1" applyAlignment="1">
      <alignment horizontal="left" readingOrder="0" vertical="center" wrapText="1"/>
    </xf>
    <xf fontId="33" fillId="6" borderId="28" numFmtId="0" xfId="0" applyFont="1" applyFill="1" applyBorder="1" applyAlignment="1">
      <alignment horizontal="left" readingOrder="0" vertical="center" wrapText="1"/>
    </xf>
    <xf fontId="0" fillId="0" borderId="29" numFmtId="0" xfId="0" applyBorder="1" applyAlignment="1">
      <alignment horizontal="left" readingOrder="0" wrapText="1"/>
    </xf>
    <xf fontId="32" fillId="4" borderId="30" numFmtId="0" xfId="0" applyFont="1" applyFill="1" applyBorder="1" applyAlignment="1">
      <alignment horizontal="left" readingOrder="0" vertical="center" wrapText="1"/>
    </xf>
    <xf fontId="22" fillId="4" borderId="31" numFmtId="0" xfId="0" applyFont="1" applyFill="1" applyBorder="1" applyAlignment="1">
      <alignment horizontal="left" readingOrder="0" wrapText="1"/>
    </xf>
    <xf fontId="24" fillId="4" borderId="32" numFmtId="0" xfId="0" applyFont="1" applyFill="1" applyBorder="1" applyAlignment="1">
      <alignment horizontal="left" readingOrder="0" wrapText="1"/>
    </xf>
    <xf fontId="33" fillId="13" borderId="33" numFmtId="0" xfId="0" applyFont="1" applyFill="1" applyBorder="1" applyAlignment="1">
      <alignment horizontal="center" readingOrder="0" vertical="center" wrapText="1"/>
    </xf>
    <xf fontId="34" fillId="4" borderId="31" numFmtId="15" xfId="0" applyNumberFormat="1" applyFont="1" applyFill="1" applyBorder="1" applyAlignment="1">
      <alignment horizontal="right" readingOrder="0" vertical="center" wrapText="1"/>
    </xf>
    <xf fontId="33" fillId="4" borderId="31" numFmtId="0" xfId="0" applyFont="1" applyFill="1" applyBorder="1" applyAlignment="1">
      <alignment horizontal="left" readingOrder="0" vertical="center" wrapText="1"/>
    </xf>
    <xf fontId="6" fillId="4" borderId="31" numFmtId="0" xfId="0" applyFont="1" applyFill="1" applyBorder="1" applyAlignment="1">
      <alignment horizontal="left" readingOrder="0" vertical="center" wrapText="1"/>
    </xf>
    <xf fontId="33" fillId="4" borderId="34" numFmtId="0" xfId="0" applyFont="1" applyFill="1" applyBorder="1" applyAlignment="1">
      <alignment horizontal="left" readingOrder="0" vertical="center" wrapText="1"/>
    </xf>
    <xf fontId="35" fillId="6" borderId="35" numFmtId="0" xfId="0" applyFont="1" applyFill="1" applyBorder="1" applyAlignment="1">
      <alignment horizontal="left" readingOrder="0" vertical="center" wrapText="1"/>
    </xf>
    <xf fontId="22" fillId="6" borderId="36" numFmtId="0" xfId="0" applyFont="1" applyFill="1" applyBorder="1" applyAlignment="1">
      <alignment horizontal="left" readingOrder="0" wrapText="1"/>
    </xf>
    <xf fontId="24" fillId="6" borderId="32" numFmtId="0" xfId="0" applyFont="1" applyFill="1" applyBorder="1" applyAlignment="1">
      <alignment horizontal="left" readingOrder="0" wrapText="1"/>
    </xf>
    <xf fontId="34" fillId="6" borderId="36" numFmtId="15" xfId="0" applyNumberFormat="1" applyFont="1" applyFill="1" applyBorder="1" applyAlignment="1">
      <alignment horizontal="right" readingOrder="0" vertical="center" wrapText="1"/>
    </xf>
    <xf fontId="33" fillId="6" borderId="36" numFmtId="0" xfId="0" applyFont="1" applyFill="1" applyBorder="1" applyAlignment="1">
      <alignment horizontal="left" readingOrder="0" vertical="center" wrapText="1"/>
    </xf>
    <xf fontId="6" fillId="6" borderId="36" numFmtId="0" xfId="0" applyFont="1" applyFill="1" applyBorder="1" applyAlignment="1">
      <alignment horizontal="left" readingOrder="0" vertical="center" wrapText="1"/>
    </xf>
    <xf fontId="33" fillId="6" borderId="34" numFmtId="0" xfId="0" applyFont="1" applyFill="1" applyBorder="1" applyAlignment="1">
      <alignment horizontal="left" readingOrder="0" vertical="center" wrapText="1"/>
    </xf>
    <xf fontId="22" fillId="4" borderId="37" numFmtId="0" xfId="0" applyFont="1" applyFill="1" applyBorder="1" applyAlignment="1">
      <alignment horizontal="left" readingOrder="0" wrapText="1"/>
    </xf>
    <xf fontId="22" fillId="6" borderId="38" numFmtId="0" xfId="0" applyFont="1" applyFill="1" applyBorder="1" applyAlignment="1">
      <alignment horizontal="left" readingOrder="0" wrapText="1"/>
    </xf>
    <xf fontId="35" fillId="6" borderId="39" numFmtId="0" xfId="0" applyFont="1" applyFill="1" applyBorder="1" applyAlignment="1">
      <alignment horizontal="left" readingOrder="0" vertical="center" wrapText="1"/>
    </xf>
    <xf fontId="36" fillId="4" borderId="37" numFmtId="0" xfId="0" applyFont="1" applyFill="1" applyBorder="1" applyAlignment="1">
      <alignment horizontal="left" readingOrder="0" vertical="center" wrapText="1"/>
    </xf>
    <xf fontId="36" fillId="4" borderId="32" numFmtId="0" xfId="0" applyFont="1" applyFill="1" applyBorder="1" applyAlignment="1">
      <alignment horizontal="left" readingOrder="0" vertical="center" wrapText="1"/>
    </xf>
    <xf fontId="35" fillId="6" borderId="40" numFmtId="0" xfId="0" applyFont="1" applyFill="1" applyBorder="1" applyAlignment="1">
      <alignment horizontal="left" readingOrder="0" vertical="center" wrapText="1"/>
    </xf>
    <xf fontId="33" fillId="6" borderId="32" numFmtId="0" xfId="0" applyFont="1" applyFill="1" applyBorder="1" applyAlignment="1">
      <alignment horizontal="left" readingOrder="0" vertical="center" wrapText="1"/>
    </xf>
    <xf fontId="37" fillId="4" borderId="37" numFmtId="0" xfId="0" applyFont="1" applyFill="1" applyBorder="1" applyAlignment="1">
      <alignment horizontal="left" readingOrder="0" vertical="center" wrapText="1"/>
    </xf>
    <xf fontId="38" fillId="4" borderId="32" numFmtId="0" xfId="0" applyFont="1" applyFill="1" applyBorder="1" applyAlignment="1">
      <alignment horizontal="left" readingOrder="0" vertical="center" wrapText="1"/>
    </xf>
    <xf fontId="38" fillId="6" borderId="38" numFmtId="0" xfId="0" applyFont="1" applyFill="1" applyBorder="1" applyAlignment="1">
      <alignment horizontal="left" readingOrder="0" vertical="center" wrapText="1"/>
    </xf>
    <xf fontId="39" fillId="6" borderId="32" numFmtId="0" xfId="0" applyFont="1" applyFill="1" applyBorder="1" applyAlignment="1">
      <alignment horizontal="left" readingOrder="0" vertical="center" wrapText="1"/>
    </xf>
    <xf fontId="33" fillId="4" borderId="41" numFmtId="0" xfId="0" applyFont="1" applyFill="1" applyBorder="1" applyAlignment="1">
      <alignment horizontal="left" readingOrder="0" vertical="center" wrapText="1"/>
    </xf>
    <xf fontId="40" fillId="4" borderId="31" numFmtId="0" xfId="0" applyFont="1" applyFill="1" applyBorder="1" applyAlignment="1">
      <alignment horizontal="left" readingOrder="0" vertical="center" wrapText="1"/>
    </xf>
    <xf fontId="40" fillId="4" borderId="32" numFmtId="0" xfId="0" applyFont="1" applyFill="1" applyBorder="1" applyAlignment="1">
      <alignment horizontal="left" readingOrder="0" vertical="center" wrapText="1"/>
    </xf>
    <xf fontId="32" fillId="6" borderId="35" numFmtId="0" xfId="0" applyFont="1" applyFill="1" applyBorder="1" applyAlignment="1">
      <alignment horizontal="left" readingOrder="0" vertical="center" wrapText="1"/>
    </xf>
    <xf fontId="40" fillId="6" borderId="36" numFmtId="0" xfId="0" applyFont="1" applyFill="1" applyBorder="1" applyAlignment="1">
      <alignment horizontal="left" readingOrder="0" vertical="center" wrapText="1"/>
    </xf>
    <xf fontId="40" fillId="6" borderId="32" numFmtId="0" xfId="0" applyFont="1" applyFill="1" applyBorder="1" applyAlignment="1">
      <alignment horizontal="left" readingOrder="0" vertical="center" wrapText="1"/>
    </xf>
    <xf fontId="40" fillId="4" borderId="37" numFmtId="0" xfId="0" applyFont="1" applyFill="1" applyBorder="1" applyAlignment="1">
      <alignment horizontal="left" readingOrder="0" vertical="center" wrapText="1"/>
    </xf>
    <xf fontId="40" fillId="6" borderId="38" numFmtId="0" xfId="0" applyFont="1" applyFill="1" applyBorder="1" applyAlignment="1">
      <alignment horizontal="left" readingOrder="0" vertical="center" wrapText="1"/>
    </xf>
    <xf fontId="40" fillId="4" borderId="42" numFmtId="0" xfId="0" applyFont="1" applyFill="1" applyBorder="1" applyAlignment="1">
      <alignment horizontal="left" readingOrder="0" vertical="center" wrapText="1"/>
    </xf>
    <xf fontId="40" fillId="4" borderId="43" numFmtId="0" xfId="0" applyFont="1" applyFill="1" applyBorder="1" applyAlignment="1">
      <alignment horizontal="left" readingOrder="0" vertical="center" wrapText="1"/>
    </xf>
    <xf fontId="32" fillId="6" borderId="39" numFmtId="0" xfId="0" applyFont="1" applyFill="1" applyBorder="1" applyAlignment="1">
      <alignment horizontal="left" readingOrder="0" vertical="center" wrapText="1"/>
    </xf>
    <xf fontId="33" fillId="6" borderId="44" numFmtId="0" xfId="0" applyFont="1" applyFill="1" applyBorder="1" applyAlignment="1">
      <alignment horizontal="left" readingOrder="0" vertical="center" wrapText="1"/>
    </xf>
    <xf fontId="33" fillId="6" borderId="45" numFmtId="0" xfId="0" applyFont="1" applyFill="1" applyBorder="1" applyAlignment="1">
      <alignment horizontal="left" readingOrder="0" vertical="center" wrapText="1"/>
    </xf>
    <xf fontId="33" fillId="4" borderId="32" numFmtId="0" xfId="0" applyFont="1" applyFill="1" applyBorder="1" applyAlignment="1">
      <alignment horizontal="left" readingOrder="0" vertical="center" wrapText="1"/>
    </xf>
    <xf fontId="33" fillId="4" borderId="30" numFmtId="0" xfId="0" applyFont="1" applyFill="1" applyBorder="1" applyAlignment="1">
      <alignment horizontal="left" readingOrder="0" vertical="center" wrapText="1"/>
    </xf>
    <xf fontId="33" fillId="6" borderId="46" numFmtId="0" xfId="0" applyFont="1" applyFill="1" applyBorder="1" applyAlignment="1">
      <alignment horizontal="left" readingOrder="0" vertical="center" wrapText="1"/>
    </xf>
    <xf fontId="33" fillId="6" borderId="47" numFmtId="0" xfId="0" applyFont="1" applyFill="1" applyBorder="1" applyAlignment="1">
      <alignment horizontal="left" readingOrder="0" vertical="center" wrapText="1"/>
    </xf>
    <xf fontId="34" fillId="6" borderId="48" numFmtId="15" xfId="0" applyNumberFormat="1" applyFont="1" applyFill="1" applyBorder="1" applyAlignment="1">
      <alignment horizontal="right" readingOrder="0" vertical="center" wrapText="1"/>
    </xf>
    <xf fontId="33" fillId="6" borderId="48" numFmtId="0" xfId="0" applyFont="1" applyFill="1" applyBorder="1" applyAlignment="1">
      <alignment horizontal="left" readingOrder="0" vertical="center" wrapText="1"/>
    </xf>
    <xf fontId="6" fillId="6" borderId="48" numFmtId="0" xfId="0" applyFont="1" applyFill="1" applyBorder="1" applyAlignment="1">
      <alignment horizontal="left" readingOrder="0" vertical="center" wrapText="1"/>
    </xf>
    <xf fontId="33" fillId="6" borderId="49" numFmtId="0" xfId="0" applyFont="1" applyFill="1" applyBorder="1" applyAlignment="1">
      <alignment horizontal="left" readingOrder="0" vertical="center" wrapText="1"/>
    </xf>
    <xf fontId="38" fillId="6" borderId="36" numFmtId="0" xfId="0" applyFont="1" applyFill="1" applyBorder="1" applyAlignment="1">
      <alignment horizontal="left" readingOrder="0" vertical="center" wrapText="1"/>
    </xf>
    <xf fontId="38" fillId="6" borderId="32" numFmtId="0" xfId="0" applyFont="1" applyFill="1" applyBorder="1" applyAlignment="1">
      <alignment horizontal="left" readingOrder="0" vertical="center" wrapText="1"/>
    </xf>
    <xf fontId="38" fillId="4" borderId="37" numFmtId="0" xfId="0" applyFont="1" applyFill="1" applyBorder="1" applyAlignment="1">
      <alignment horizontal="left" readingOrder="0" vertical="center" wrapText="1"/>
    </xf>
    <xf fontId="38" fillId="4" borderId="44" numFmtId="0" xfId="0" applyFont="1" applyFill="1" applyBorder="1" applyAlignment="1">
      <alignment horizontal="left" readingOrder="0" vertical="center" wrapText="1"/>
    </xf>
    <xf fontId="38" fillId="4" borderId="45" numFmtId="0" xfId="0" applyFont="1" applyFill="1" applyBorder="1" applyAlignment="1">
      <alignment horizontal="left" readingOrder="0" vertical="center" wrapText="1"/>
    </xf>
    <xf fontId="34" fillId="4" borderId="50" numFmtId="15" xfId="0" applyNumberFormat="1" applyFont="1" applyFill="1" applyBorder="1" applyAlignment="1">
      <alignment horizontal="right" readingOrder="0" vertical="center" wrapText="1"/>
    </xf>
    <xf fontId="33" fillId="4" borderId="50" numFmtId="0" xfId="0" applyFont="1" applyFill="1" applyBorder="1" applyAlignment="1">
      <alignment horizontal="left" readingOrder="0" vertical="center" wrapText="1"/>
    </xf>
    <xf fontId="6" fillId="4" borderId="50" numFmtId="0" xfId="0" applyFont="1" applyFill="1" applyBorder="1" applyAlignment="1">
      <alignment horizontal="left" readingOrder="0" vertical="center" wrapText="1"/>
    </xf>
    <xf fontId="33" fillId="4" borderId="51" numFmtId="0" xfId="0" applyFont="1" applyFill="1" applyBorder="1" applyAlignment="1">
      <alignment horizontal="left" readingOrder="0" vertical="center" wrapText="1"/>
    </xf>
    <xf fontId="35" fillId="6" borderId="24" numFmtId="0" xfId="0" applyFont="1" applyFill="1" applyBorder="1" applyAlignment="1">
      <alignment horizontal="left" readingOrder="0" vertical="center" wrapText="1"/>
    </xf>
    <xf fontId="41" fillId="6" borderId="25" numFmtId="0" xfId="0" applyFont="1" applyFill="1" applyBorder="1" applyAlignment="1">
      <alignment horizontal="left" readingOrder="0" vertical="center" wrapText="1"/>
    </xf>
    <xf fontId="41" fillId="6" borderId="26" numFmtId="0" xfId="0" applyFont="1" applyFill="1" applyBorder="1" applyAlignment="1">
      <alignment horizontal="left" readingOrder="0" vertical="center" wrapText="1"/>
    </xf>
    <xf fontId="34" fillId="6" borderId="25" numFmtId="15" xfId="0" applyNumberFormat="1" applyFont="1" applyFill="1" applyBorder="1" applyAlignment="1">
      <alignment horizontal="left" readingOrder="0" vertical="center" wrapText="1"/>
    </xf>
    <xf fontId="41" fillId="4" borderId="37" numFmtId="0" xfId="0" applyFont="1" applyFill="1" applyBorder="1" applyAlignment="1">
      <alignment horizontal="left" readingOrder="0" vertical="center" wrapText="1"/>
    </xf>
    <xf fontId="41" fillId="4" borderId="32" numFmtId="0" xfId="0" applyFont="1" applyFill="1" applyBorder="1" applyAlignment="1">
      <alignment horizontal="left" readingOrder="0" vertical="center" wrapText="1"/>
    </xf>
    <xf fontId="34" fillId="4" borderId="31" numFmtId="15" xfId="0" applyNumberFormat="1" applyFont="1" applyFill="1" applyBorder="1" applyAlignment="1">
      <alignment horizontal="left" readingOrder="0" vertical="center" wrapText="1"/>
    </xf>
    <xf fontId="41" fillId="6" borderId="36" numFmtId="0" xfId="0" applyFont="1" applyFill="1" applyBorder="1" applyAlignment="1">
      <alignment horizontal="left" readingOrder="0" vertical="center" wrapText="1"/>
    </xf>
    <xf fontId="41" fillId="6" borderId="32" numFmtId="0" xfId="0" applyFont="1" applyFill="1" applyBorder="1" applyAlignment="1">
      <alignment horizontal="left" readingOrder="0" vertical="center" wrapText="1"/>
    </xf>
    <xf fontId="34" fillId="6" borderId="36" numFmtId="15" xfId="0" applyNumberFormat="1" applyFont="1" applyFill="1" applyBorder="1" applyAlignment="1">
      <alignment horizontal="left" readingOrder="0" vertical="center" wrapText="1"/>
    </xf>
    <xf fontId="42" fillId="4" borderId="30" numFmtId="0" xfId="0" applyFont="1" applyFill="1" applyBorder="1" applyAlignment="1">
      <alignment horizontal="left" readingOrder="0" vertical="center" wrapText="1"/>
    </xf>
    <xf fontId="41" fillId="4" borderId="31" numFmtId="0" xfId="0" applyFont="1" applyFill="1" applyBorder="1" applyAlignment="1">
      <alignment horizontal="left" readingOrder="0" vertical="center" wrapText="1"/>
    </xf>
    <xf fontId="42" fillId="6" borderId="35" numFmtId="0" xfId="0" applyFont="1" applyFill="1" applyBorder="1" applyAlignment="1">
      <alignment horizontal="left" readingOrder="0" vertical="center" wrapText="1"/>
    </xf>
    <xf fontId="42" fillId="6" borderId="39" numFmtId="0" xfId="0" applyFont="1" applyFill="1" applyBorder="1" applyAlignment="1">
      <alignment horizontal="left" readingOrder="0" vertical="center" wrapText="1"/>
    </xf>
    <xf fontId="42" fillId="6" borderId="40" numFmtId="0" xfId="0" applyFont="1" applyFill="1" applyBorder="1" applyAlignment="1">
      <alignment horizontal="left" readingOrder="0" vertical="center" wrapText="1"/>
    </xf>
    <xf fontId="41" fillId="4" borderId="44" numFmtId="0" xfId="0" applyFont="1" applyFill="1" applyBorder="1" applyAlignment="1">
      <alignment horizontal="left" readingOrder="0" vertical="center" wrapText="1"/>
    </xf>
    <xf fontId="41" fillId="4" borderId="45" numFmtId="0" xfId="0" applyFont="1" applyFill="1" applyBorder="1" applyAlignment="1">
      <alignment horizontal="left" readingOrder="0" vertical="center" wrapText="1"/>
    </xf>
    <xf fontId="34" fillId="4" borderId="50" numFmtId="15" xfId="0" applyNumberFormat="1" applyFont="1" applyFill="1" applyBorder="1" applyAlignment="1">
      <alignment horizontal="left" readingOrder="0" vertical="center" wrapText="1"/>
    </xf>
    <xf fontId="33" fillId="6" borderId="52" numFmtId="0" xfId="0" applyFont="1" applyFill="1" applyBorder="1" applyAlignment="1">
      <alignment horizontal="left" readingOrder="0" vertical="center" wrapText="1"/>
    </xf>
    <xf fontId="41" fillId="6" borderId="53" numFmtId="0" xfId="0" applyFont="1" applyFill="1" applyBorder="1" applyAlignment="1">
      <alignment horizontal="left" readingOrder="0" vertical="center" wrapText="1"/>
    </xf>
    <xf fontId="41" fillId="6" borderId="54" numFmtId="0" xfId="0" applyFont="1" applyFill="1" applyBorder="1" applyAlignment="1">
      <alignment horizontal="left" readingOrder="0" vertical="center" wrapText="1"/>
    </xf>
    <xf fontId="34" fillId="6" borderId="53" numFmtId="15" xfId="0" applyNumberFormat="1" applyFont="1" applyFill="1" applyBorder="1" applyAlignment="1">
      <alignment horizontal="left" readingOrder="0" vertical="center" wrapText="1"/>
    </xf>
    <xf fontId="33" fillId="6" borderId="53" numFmtId="0" xfId="0" applyFont="1" applyFill="1" applyBorder="1" applyAlignment="1">
      <alignment horizontal="left" readingOrder="0" vertical="center" wrapText="1"/>
    </xf>
    <xf fontId="6" fillId="6" borderId="53" numFmtId="0" xfId="0" applyFont="1" applyFill="1" applyBorder="1" applyAlignment="1">
      <alignment horizontal="left" readingOrder="0" vertical="center" wrapText="1"/>
    </xf>
    <xf fontId="33" fillId="6" borderId="55" numFmtId="0" xfId="0" applyFont="1" applyFill="1" applyBorder="1" applyAlignment="1">
      <alignment horizontal="left" readingOrder="0" vertical="center" wrapText="1"/>
    </xf>
    <xf fontId="35" fillId="4" borderId="56" numFmtId="0" xfId="0" applyFont="1" applyFill="1" applyBorder="1" applyAlignment="1">
      <alignment horizontal="left" readingOrder="0" vertical="center" wrapText="1"/>
    </xf>
    <xf fontId="43" fillId="4" borderId="57" numFmtId="0" xfId="0" applyFont="1" applyFill="1" applyBorder="1" applyAlignment="1">
      <alignment horizontal="left" readingOrder="0" vertical="center" wrapText="1"/>
    </xf>
    <xf fontId="25" fillId="4" borderId="26" numFmtId="0" xfId="0" applyFont="1" applyFill="1" applyBorder="1" applyAlignment="1">
      <alignment horizontal="left" readingOrder="0" vertical="center" wrapText="1"/>
    </xf>
    <xf fontId="34" fillId="4" borderId="57" numFmtId="15" xfId="0" applyNumberFormat="1" applyFont="1" applyFill="1" applyBorder="1" applyAlignment="1">
      <alignment horizontal="right" readingOrder="0" vertical="center" wrapText="1"/>
    </xf>
    <xf fontId="33" fillId="4" borderId="57" numFmtId="0" xfId="0" applyFont="1" applyFill="1" applyBorder="1" applyAlignment="1">
      <alignment horizontal="left" readingOrder="0" vertical="center" wrapText="1"/>
    </xf>
    <xf fontId="6" fillId="4" borderId="57" numFmtId="0" xfId="0" applyFont="1" applyFill="1" applyBorder="1" applyAlignment="1">
      <alignment horizontal="left" readingOrder="0" vertical="center" wrapText="1"/>
    </xf>
    <xf fontId="33" fillId="4" borderId="28" numFmtId="0" xfId="0" applyFont="1" applyFill="1" applyBorder="1" applyAlignment="1">
      <alignment horizontal="left" readingOrder="0" vertical="center" wrapText="1"/>
    </xf>
    <xf fontId="43" fillId="6" borderId="38" numFmtId="0" xfId="0" applyFont="1" applyFill="1" applyBorder="1" applyAlignment="1">
      <alignment horizontal="left" readingOrder="0" vertical="center" wrapText="1"/>
    </xf>
    <xf fontId="44" fillId="6" borderId="32" numFmtId="0" xfId="0" applyFont="1" applyFill="1" applyBorder="1" applyAlignment="1">
      <alignment horizontal="left" readingOrder="0" vertical="center" wrapText="1"/>
    </xf>
    <xf fontId="34" fillId="6" borderId="36" numFmtId="15" xfId="0" applyNumberFormat="1" applyFont="1" applyFill="1" applyBorder="1" applyAlignment="1">
      <alignment horizontal="right" readingOrder="0" vertical="center" wrapText="1"/>
    </xf>
    <xf fontId="35" fillId="4" borderId="41" numFmtId="0" xfId="0" applyFont="1" applyFill="1" applyBorder="1" applyAlignment="1">
      <alignment horizontal="left" readingOrder="0" vertical="center" wrapText="1"/>
    </xf>
    <xf fontId="45" fillId="4" borderId="31" numFmtId="0" xfId="0" applyFont="1" applyFill="1" applyBorder="1" applyAlignment="1">
      <alignment horizontal="left" readingOrder="0" vertical="center" wrapText="1"/>
    </xf>
    <xf fontId="43" fillId="4" borderId="32" numFmtId="0" xfId="0" applyFont="1" applyFill="1" applyBorder="1" applyAlignment="1">
      <alignment horizontal="left" readingOrder="0" vertical="center" wrapText="1"/>
    </xf>
    <xf fontId="34" fillId="4" borderId="31" numFmtId="15" xfId="0" applyNumberFormat="1" applyFont="1" applyFill="1" applyBorder="1" applyAlignment="1">
      <alignment horizontal="right" readingOrder="0" vertical="center" wrapText="1"/>
    </xf>
    <xf fontId="45" fillId="6" borderId="58" numFmtId="0" xfId="0" applyFont="1" applyFill="1" applyBorder="1" applyAlignment="1">
      <alignment horizontal="left" readingOrder="0" vertical="center" wrapText="1"/>
    </xf>
    <xf fontId="43" fillId="6" borderId="45" numFmtId="0" xfId="0" applyFont="1" applyFill="1" applyBorder="1" applyAlignment="1">
      <alignment horizontal="left" readingOrder="0" vertical="center" wrapText="1"/>
    </xf>
    <xf fontId="34" fillId="6" borderId="59" numFmtId="15" xfId="0" applyNumberFormat="1" applyFont="1" applyFill="1" applyBorder="1" applyAlignment="1">
      <alignment horizontal="right" readingOrder="0" vertical="center" wrapText="1"/>
    </xf>
    <xf fontId="33" fillId="6" borderId="59" numFmtId="0" xfId="0" applyFont="1" applyFill="1" applyBorder="1" applyAlignment="1">
      <alignment horizontal="left" readingOrder="0" vertical="center" wrapText="1"/>
    </xf>
    <xf fontId="6" fillId="6" borderId="59" numFmtId="0" xfId="0" applyFont="1" applyFill="1" applyBorder="1" applyAlignment="1">
      <alignment horizontal="left" readingOrder="0" vertical="center" wrapText="1"/>
    </xf>
    <xf fontId="33" fillId="6" borderId="51" numFmtId="0" xfId="0" applyFont="1" applyFill="1" applyBorder="1" applyAlignment="1">
      <alignment horizontal="left" readingOrder="0" vertical="center" wrapText="1"/>
    </xf>
    <xf fontId="46" fillId="16" borderId="4" numFmtId="0" xfId="0" applyFont="1" applyFill="1" applyBorder="1" applyAlignment="1">
      <alignment horizontal="center" vertical="center"/>
    </xf>
    <xf fontId="47" fillId="16" borderId="0" numFmtId="0" xfId="0" applyFont="1" applyFill="1"/>
    <xf fontId="1" fillId="16" borderId="0" numFmtId="0" xfId="0" applyFont="1" applyFill="1" applyAlignment="1">
      <alignment vertical="center"/>
    </xf>
    <xf fontId="4" fillId="16" borderId="0" numFmtId="0" xfId="0" applyFont="1" applyFill="1"/>
    <xf fontId="5" fillId="16" borderId="0" numFmtId="0" xfId="0" applyFont="1" applyFill="1" applyAlignment="1">
      <alignment vertical="center"/>
    </xf>
    <xf fontId="6" fillId="16" borderId="0" numFmtId="0" xfId="0" applyFont="1" applyFill="1" applyAlignment="1">
      <alignment vertical="center"/>
    </xf>
    <xf fontId="1" fillId="16" borderId="6" numFmtId="0" xfId="0" applyFont="1" applyFill="1" applyBorder="1" applyAlignment="1">
      <alignment vertical="center"/>
    </xf>
    <xf fontId="0" fillId="0" borderId="60" numFmtId="0" xfId="0" applyBorder="1" applyAlignment="1">
      <alignment horizontal="left" readingOrder="0" wrapText="1"/>
    </xf>
    <xf fontId="26" fillId="18" borderId="4" numFmtId="0" xfId="0" applyFont="1" applyFill="1" applyBorder="1" applyAlignment="1">
      <alignment horizontal="center" vertical="center"/>
    </xf>
    <xf fontId="1" fillId="18" borderId="0" numFmtId="0" xfId="0" applyFont="1" applyFill="1" applyAlignment="1">
      <alignment vertical="center"/>
    </xf>
    <xf fontId="10" fillId="18" borderId="9" numFmtId="0" xfId="0" applyFont="1" applyFill="1" applyBorder="1" applyAlignment="1">
      <alignment horizontal="center" vertical="center"/>
    </xf>
    <xf fontId="10" fillId="18" borderId="10" numFmtId="164" xfId="0" applyNumberFormat="1" applyFont="1" applyFill="1" applyBorder="1" applyAlignment="1">
      <alignment horizontal="right" vertical="center"/>
    </xf>
    <xf fontId="5" fillId="18" borderId="0" numFmtId="0" xfId="0" applyFont="1" applyFill="1" applyAlignment="1">
      <alignment vertical="center"/>
    </xf>
    <xf fontId="6" fillId="18" borderId="0" numFmtId="0" xfId="0" applyFont="1" applyFill="1" applyAlignment="1">
      <alignment vertical="center"/>
    </xf>
    <xf fontId="1" fillId="18" borderId="6" numFmtId="0" xfId="0" applyFont="1" applyFill="1" applyBorder="1" applyAlignment="1">
      <alignment vertical="center"/>
    </xf>
    <xf fontId="1" fillId="20" borderId="0" numFmtId="0" xfId="0" applyFont="1" applyFill="1" applyAlignment="1">
      <alignment vertical="center"/>
    </xf>
    <xf fontId="10" fillId="20" borderId="8" numFmtId="0" xfId="0" applyFont="1" applyFill="1" applyBorder="1" applyAlignment="1">
      <alignment horizontal="center" vertical="center"/>
    </xf>
    <xf fontId="1" fillId="20" borderId="0" numFmtId="165" xfId="0" applyNumberFormat="1" applyFont="1" applyFill="1" applyAlignment="1">
      <alignment vertical="center"/>
    </xf>
    <xf fontId="5" fillId="20" borderId="0" numFmtId="0" xfId="0" applyFont="1" applyFill="1" applyAlignment="1">
      <alignment vertical="center"/>
    </xf>
    <xf fontId="6" fillId="20" borderId="0" numFmtId="0" xfId="0" applyFont="1" applyFill="1" applyAlignment="1">
      <alignment vertical="center"/>
    </xf>
    <xf fontId="1" fillId="20" borderId="6" numFmtId="0" xfId="0" applyFont="1" applyFill="1" applyBorder="1" applyAlignment="1">
      <alignment vertical="center"/>
    </xf>
    <xf fontId="1" fillId="8" borderId="0" numFmtId="0" xfId="0" applyFont="1" applyFill="1" applyAlignment="1">
      <alignment vertical="center"/>
    </xf>
    <xf fontId="10" fillId="8" borderId="8" numFmtId="0" xfId="0" applyFont="1" applyFill="1" applyBorder="1" applyAlignment="1">
      <alignment horizontal="center" vertical="center"/>
    </xf>
    <xf fontId="1" fillId="8" borderId="0" numFmtId="165" xfId="0" applyNumberFormat="1" applyFont="1" applyFill="1" applyAlignment="1">
      <alignment vertical="center"/>
    </xf>
    <xf fontId="5" fillId="8" borderId="0" numFmtId="0" xfId="0" applyFont="1" applyFill="1" applyAlignment="1">
      <alignment vertical="center"/>
    </xf>
    <xf fontId="6" fillId="8" borderId="0" numFmtId="0" xfId="0" applyFont="1" applyFill="1" applyAlignment="1">
      <alignment vertical="center"/>
    </xf>
    <xf fontId="1" fillId="8" borderId="6" numFmtId="0" xfId="0" applyFont="1" applyFill="1" applyBorder="1" applyAlignment="1">
      <alignment vertical="center"/>
    </xf>
    <xf fontId="1" fillId="9" borderId="0" numFmtId="0" xfId="0" applyFont="1" applyFill="1" applyAlignment="1">
      <alignment vertical="center"/>
    </xf>
    <xf fontId="10" fillId="9" borderId="8" numFmtId="0" xfId="0" applyFont="1" applyFill="1" applyBorder="1" applyAlignment="1">
      <alignment horizontal="center" vertical="center"/>
    </xf>
    <xf fontId="10" fillId="9" borderId="0" numFmtId="165" xfId="0" applyNumberFormat="1" applyFont="1" applyFill="1" applyAlignment="1">
      <alignment horizontal="right" vertical="center"/>
    </xf>
    <xf fontId="5" fillId="9" borderId="0" numFmtId="0" xfId="0" applyFont="1" applyFill="1" applyAlignment="1">
      <alignment vertical="center"/>
    </xf>
    <xf fontId="6" fillId="9" borderId="0" numFmtId="0" xfId="0" applyFont="1" applyFill="1" applyAlignment="1">
      <alignment vertical="center"/>
    </xf>
    <xf fontId="1" fillId="9" borderId="6" numFmtId="0" xfId="0" applyFont="1" applyFill="1" applyBorder="1" applyAlignment="1">
      <alignment vertical="center"/>
    </xf>
    <xf fontId="9" fillId="6" borderId="4" numFmtId="0" xfId="0" applyFont="1" applyFill="1" applyBorder="1" applyAlignment="1">
      <alignment horizontal="center" vertical="center"/>
    </xf>
    <xf fontId="1" fillId="12" borderId="0" numFmtId="0" xfId="0" applyFont="1" applyFill="1" applyAlignment="1">
      <alignment vertical="center"/>
    </xf>
    <xf fontId="48" fillId="12" borderId="7" numFmtId="0" xfId="0" applyFont="1" applyFill="1" applyBorder="1" applyAlignment="1">
      <alignment vertical="center" wrapText="1"/>
    </xf>
    <xf fontId="10" fillId="12" borderId="8" numFmtId="0" xfId="0" applyFont="1" applyFill="1" applyBorder="1" applyAlignment="1">
      <alignment horizontal="center" vertical="center"/>
    </xf>
    <xf fontId="10" fillId="12" borderId="0" numFmtId="165" xfId="0" applyNumberFormat="1" applyFont="1" applyFill="1" applyAlignment="1">
      <alignment horizontal="right" vertical="center"/>
    </xf>
    <xf fontId="5" fillId="12" borderId="0" numFmtId="0" xfId="0" applyFont="1" applyFill="1" applyAlignment="1">
      <alignment vertical="center"/>
    </xf>
    <xf fontId="6" fillId="12" borderId="0" numFmtId="0" xfId="0" applyFont="1" applyFill="1" applyAlignment="1">
      <alignment vertical="center"/>
    </xf>
    <xf fontId="1" fillId="12" borderId="6" numFmtId="0" xfId="0" applyFont="1" applyFill="1" applyBorder="1" applyAlignment="1">
      <alignment vertical="center"/>
    </xf>
    <xf fontId="1" fillId="21" borderId="0" numFmtId="0" xfId="0" applyFont="1" applyFill="1" applyAlignment="1">
      <alignment vertical="center"/>
    </xf>
    <xf fontId="48" fillId="21" borderId="0" numFmtId="0" xfId="0" applyFont="1" applyFill="1" applyAlignment="1">
      <alignment vertical="center" wrapText="1"/>
    </xf>
    <xf fontId="10" fillId="21" borderId="9" numFmtId="0" xfId="0" applyFont="1" applyFill="1" applyBorder="1" applyAlignment="1">
      <alignment horizontal="center" vertical="center"/>
    </xf>
    <xf fontId="4" fillId="21" borderId="5" numFmtId="165" xfId="0" applyNumberFormat="1" applyFont="1" applyFill="1" applyBorder="1" applyAlignment="1">
      <alignment vertical="center"/>
    </xf>
    <xf fontId="16" fillId="21" borderId="7" numFmtId="0" xfId="0" applyFont="1" applyFill="1" applyBorder="1" applyAlignment="1">
      <alignment horizontal="left" vertical="center"/>
    </xf>
    <xf fontId="10" fillId="21" borderId="8" numFmtId="0" xfId="0" applyFont="1" applyFill="1" applyBorder="1" applyAlignment="1">
      <alignment horizontal="center" vertical="center"/>
    </xf>
    <xf fontId="4" fillId="21" borderId="0" numFmtId="165" xfId="0" applyNumberFormat="1" applyFont="1" applyFill="1" applyAlignment="1">
      <alignment vertical="center"/>
    </xf>
    <xf fontId="1" fillId="22" borderId="0" numFmtId="0" xfId="0" applyFont="1" applyFill="1" applyAlignment="1">
      <alignment vertical="center"/>
    </xf>
    <xf fontId="16" fillId="22" borderId="0" numFmtId="0" xfId="0" applyFont="1" applyFill="1" applyAlignment="1">
      <alignment horizontal="left" vertical="center"/>
    </xf>
    <xf fontId="10" fillId="22" borderId="8" numFmtId="0" xfId="0" applyFont="1" applyFill="1" applyBorder="1" applyAlignment="1">
      <alignment horizontal="center" vertical="center"/>
    </xf>
    <xf fontId="4" fillId="22" borderId="0" numFmtId="165" xfId="0" applyNumberFormat="1" applyFont="1" applyFill="1" applyAlignment="1">
      <alignment vertical="center"/>
    </xf>
    <xf fontId="5" fillId="22" borderId="0" numFmtId="0" xfId="0" applyFont="1" applyFill="1" applyAlignment="1">
      <alignment vertical="center"/>
    </xf>
    <xf fontId="6" fillId="22" borderId="0" numFmtId="0" xfId="0" applyFont="1" applyFill="1" applyAlignment="1">
      <alignment vertical="center"/>
    </xf>
    <xf fontId="1" fillId="22" borderId="6" numFmtId="0" xfId="0" applyFont="1" applyFill="1" applyBorder="1" applyAlignment="1">
      <alignment vertical="center"/>
    </xf>
    <xf fontId="4" fillId="22" borderId="5" numFmtId="0" xfId="0" applyFont="1" applyFill="1" applyBorder="1" applyAlignment="1">
      <alignment vertical="center" wrapText="1"/>
    </xf>
    <xf fontId="4" fillId="22" borderId="0" numFmtId="0" xfId="0" applyFont="1" applyFill="1" applyAlignment="1">
      <alignment vertical="center" wrapText="1"/>
    </xf>
    <xf fontId="4" fillId="15" borderId="0" numFmtId="0" xfId="0" applyFont="1" applyFill="1" applyAlignment="1">
      <alignment vertical="center" wrapText="1"/>
    </xf>
    <xf fontId="10" fillId="15" borderId="8" numFmtId="0" xfId="0" applyFont="1" applyFill="1" applyBorder="1" applyAlignment="1">
      <alignment horizontal="center" vertical="center"/>
    </xf>
    <xf fontId="17" fillId="15" borderId="0" numFmtId="165" xfId="0" applyNumberFormat="1" applyFont="1" applyFill="1" applyAlignment="1">
      <alignment vertical="center"/>
    </xf>
    <xf fontId="1" fillId="15" borderId="0" numFmtId="0" xfId="0" applyFont="1" applyFill="1" applyAlignment="1">
      <alignment vertical="center"/>
    </xf>
    <xf fontId="5" fillId="15" borderId="0" numFmtId="0" xfId="0" applyFont="1" applyFill="1" applyAlignment="1">
      <alignment vertical="center"/>
    </xf>
    <xf fontId="6" fillId="15" borderId="0" numFmtId="0" xfId="0" applyFont="1" applyFill="1" applyAlignment="1">
      <alignment vertical="center"/>
    </xf>
    <xf fontId="1" fillId="15" borderId="6" numFmtId="0" xfId="0" applyFont="1" applyFill="1" applyBorder="1" applyAlignment="1">
      <alignment vertical="center"/>
    </xf>
    <xf fontId="26" fillId="6" borderId="4" numFmtId="0" xfId="0" applyFont="1" applyFill="1" applyBorder="1" applyAlignment="1">
      <alignment vertical="center"/>
    </xf>
    <xf fontId="16" fillId="15" borderId="0" numFmtId="0" xfId="0" applyFont="1" applyFill="1" applyAlignment="1">
      <alignment horizontal="left" readingOrder="0" vertical="center"/>
    </xf>
    <xf fontId="4" fillId="15" borderId="0" numFmtId="0" xfId="0" applyFont="1" applyFill="1" applyAlignment="1">
      <alignment readingOrder="0" vertical="center" wrapText="1"/>
    </xf>
    <xf fontId="10" fillId="13" borderId="8" numFmtId="0" xfId="0" applyFont="1" applyFill="1" applyBorder="1" applyAlignment="1">
      <alignment horizontal="center" vertical="center"/>
    </xf>
    <xf fontId="26" fillId="6" borderId="61" numFmtId="0" xfId="0" applyFont="1" applyFill="1" applyBorder="1" applyAlignment="1">
      <alignment vertical="center"/>
    </xf>
    <xf fontId="16" fillId="15" borderId="22" numFmtId="0" xfId="0" applyFont="1" applyFill="1" applyBorder="1" applyAlignment="1">
      <alignment horizontal="left" readingOrder="0" vertical="center"/>
    </xf>
    <xf fontId="4" fillId="15" borderId="22" numFmtId="0" xfId="0" applyFont="1" applyFill="1" applyBorder="1" applyAlignment="1">
      <alignment readingOrder="0" vertical="center" wrapText="1"/>
    </xf>
    <xf fontId="1" fillId="15" borderId="22" numFmtId="0" xfId="0" applyFont="1" applyFill="1" applyBorder="1" applyAlignment="1">
      <alignment vertical="center"/>
    </xf>
    <xf fontId="1" fillId="15" borderId="22" numFmtId="0" xfId="0" applyFont="1" applyFill="1" applyBorder="1" applyAlignment="1">
      <alignment readingOrder="0" vertical="center"/>
    </xf>
    <xf fontId="5" fillId="15" borderId="22" numFmtId="0" xfId="0" applyFont="1" applyFill="1" applyBorder="1" applyAlignment="1">
      <alignment readingOrder="0" vertical="center"/>
    </xf>
    <xf fontId="6" fillId="15" borderId="22" numFmtId="0" xfId="0" applyFont="1" applyFill="1" applyBorder="1" applyAlignment="1">
      <alignment readingOrder="0" vertical="center"/>
    </xf>
    <xf fontId="1" fillId="15" borderId="23" numFmtId="0" xfId="0" applyFont="1" applyFill="1" applyBorder="1" applyAlignment="1">
      <alignment readingOrder="0" vertical="center"/>
    </xf>
    <xf fontId="35" fillId="4" borderId="30" numFmtId="0" xfId="0" applyFont="1" applyFill="1" applyBorder="1" applyAlignment="1">
      <alignment horizontal="left" readingOrder="0" vertical="center" wrapText="1"/>
    </xf>
    <xf fontId="35" fillId="4" borderId="30" numFmtId="0" xfId="0" applyFont="1" applyFill="1" applyBorder="1" applyAlignment="1">
      <alignment horizontal="left" vertical="center" wrapText="1"/>
    </xf>
    <xf fontId="35" fillId="6" borderId="39" numFmtId="0" xfId="0" applyFont="1" applyFill="1" applyBorder="1" applyAlignment="1">
      <alignment horizontal="left" vertical="center" wrapText="1"/>
    </xf>
    <xf fontId="34" fillId="6" borderId="59" numFmtId="15" xfId="0" applyNumberFormat="1" applyFont="1" applyFill="1" applyBorder="1" applyAlignment="1">
      <alignment horizontal="right" readingOrder="0" vertical="center" wrapText="1"/>
    </xf>
    <xf fontId="33" fillId="4" borderId="26" numFmtId="0" xfId="0" applyFont="1" applyFill="1" applyBorder="1" applyAlignment="1">
      <alignment horizontal="left" readingOrder="0" vertical="center" wrapText="1"/>
    </xf>
    <xf fontId="35" fillId="4" borderId="56" numFmtId="0" xfId="0" applyFont="1" applyFill="1" applyBorder="1" applyAlignment="1">
      <alignment horizontal="left" vertical="center" wrapText="1"/>
    </xf>
    <xf fontId="1" fillId="23" borderId="0" numFmtId="0" xfId="0" applyFont="1" applyFill="1" applyAlignment="1">
      <alignment readingOrder="0" vertical="center"/>
    </xf>
    <xf fontId="1" fillId="23" borderId="0" numFmtId="0" xfId="0" applyFont="1" applyFill="1" applyAlignment="1">
      <alignment vertical="center"/>
    </xf>
    <xf fontId="10" fillId="23" borderId="9" numFmtId="0" xfId="0" applyFont="1" applyFill="1" applyBorder="1" applyAlignment="1">
      <alignment horizontal="center" vertical="center"/>
    </xf>
    <xf fontId="10" fillId="23" borderId="62" numFmtId="165" xfId="0" applyNumberFormat="1" applyFont="1" applyFill="1" applyBorder="1" applyAlignment="1">
      <alignment horizontal="right" vertical="center"/>
    </xf>
    <xf fontId="5" fillId="23" borderId="0" numFmtId="0" xfId="0" applyFont="1" applyFill="1" applyAlignment="1">
      <alignment readingOrder="0" vertical="center"/>
    </xf>
    <xf fontId="6" fillId="23" borderId="0" numFmtId="0" xfId="0" applyFont="1" applyFill="1" applyAlignment="1">
      <alignment readingOrder="0" vertical="center"/>
    </xf>
    <xf fontId="1" fillId="23" borderId="6" numFmtId="0" xfId="0" applyFont="1" applyFill="1" applyBorder="1" applyAlignment="1">
      <alignment readingOrder="0" vertical="center"/>
    </xf>
    <xf fontId="10" fillId="23" borderId="63" numFmtId="165" xfId="0" applyNumberFormat="1" applyFont="1" applyFill="1" applyBorder="1" applyAlignment="1">
      <alignment horizontal="right" vertical="center"/>
    </xf>
    <xf fontId="49" fillId="4" borderId="4" numFmtId="0" xfId="0" applyFont="1" applyFill="1" applyBorder="1" applyAlignment="1">
      <alignment horizontal="left" vertical="center"/>
    </xf>
    <xf fontId="10" fillId="8" borderId="0" numFmtId="165" xfId="0" applyNumberFormat="1" applyFont="1" applyFill="1" applyAlignment="1">
      <alignment horizontal="right" readingOrder="0" vertical="center"/>
    </xf>
    <xf fontId="49" fillId="6" borderId="4" numFmtId="0" xfId="0" applyFont="1" applyFill="1" applyBorder="1" applyAlignment="1">
      <alignment horizontal="left" vertical="center"/>
    </xf>
    <xf fontId="50" fillId="6" borderId="4" numFmtId="0" xfId="0" applyFont="1" applyFill="1" applyBorder="1" applyAlignment="1">
      <alignment horizontal="left" vertical="center"/>
    </xf>
    <xf fontId="4" fillId="9" borderId="5" numFmtId="0" xfId="0" applyFont="1" applyFill="1" applyBorder="1" applyAlignment="1">
      <alignment horizontal="center" vertical="center" wrapText="1"/>
    </xf>
    <xf fontId="19" fillId="4" borderId="0" numFmtId="0" xfId="0" applyFont="1" applyFill="1" applyAlignment="1">
      <alignment vertical="center"/>
    </xf>
    <xf fontId="50" fillId="4" borderId="0" numFmtId="0" xfId="0" applyFont="1" applyFill="1" applyAlignment="1">
      <alignment horizontal="left" vertical="center"/>
    </xf>
    <xf fontId="4" fillId="9" borderId="5" numFmtId="0" xfId="0" applyFont="1" applyFill="1" applyBorder="1" applyAlignment="1">
      <alignment horizontal="center" vertical="center"/>
    </xf>
    <xf fontId="4" fillId="22" borderId="0" numFmtId="165" xfId="0" applyNumberFormat="1" applyFont="1" applyFill="1" applyAlignment="1">
      <alignment readingOrder="0" vertical="center"/>
    </xf>
    <xf fontId="1" fillId="22" borderId="0" numFmtId="0" xfId="0" applyFont="1" applyFill="1" applyAlignment="1">
      <alignment readingOrder="0" vertical="center"/>
    </xf>
    <xf fontId="5" fillId="22" borderId="0" numFmtId="0" xfId="0" applyFont="1" applyFill="1" applyAlignment="1">
      <alignment readingOrder="0" vertical="center"/>
    </xf>
    <xf fontId="6" fillId="22" borderId="0" numFmtId="0" xfId="0" applyFont="1" applyFill="1" applyAlignment="1">
      <alignment readingOrder="0" vertical="center"/>
    </xf>
    <xf fontId="1" fillId="22" borderId="6" numFmtId="0" xfId="0" applyFont="1" applyFill="1" applyBorder="1" applyAlignment="1">
      <alignment readingOrder="0" vertical="center"/>
    </xf>
    <xf fontId="4" fillId="22" borderId="0" numFmtId="0" xfId="0" applyFont="1" applyFill="1" applyAlignment="1">
      <alignment horizontal="center" readingOrder="0" vertical="center" wrapText="1"/>
    </xf>
    <xf fontId="4" fillId="22" borderId="0" numFmtId="0" xfId="0" applyFont="1" applyFill="1" applyAlignment="1">
      <alignment horizontal="center" vertical="center" wrapText="1"/>
    </xf>
    <xf fontId="4" fillId="15" borderId="5" numFmtId="0" xfId="0" applyFont="1" applyFill="1" applyBorder="1"/>
    <xf fontId="4" fillId="15" borderId="0" numFmtId="0" xfId="0" applyFont="1" applyFill="1" applyAlignment="1">
      <alignment readingOrder="0"/>
    </xf>
    <xf fontId="51" fillId="8" borderId="4" numFmtId="0" xfId="0" applyFont="1" applyFill="1" applyBorder="1" applyAlignment="1">
      <alignment vertical="center"/>
    </xf>
    <xf fontId="1" fillId="6" borderId="22" numFmtId="0" xfId="0" applyFont="1" applyFill="1" applyBorder="1" applyAlignment="1">
      <alignment readingOrder="0" vertical="center"/>
    </xf>
    <xf fontId="4" fillId="8" borderId="22" numFmtId="0" xfId="0" applyFont="1" applyFill="1" applyBorder="1" applyAlignment="1">
      <alignment readingOrder="0"/>
    </xf>
    <xf fontId="1" fillId="8" borderId="22" numFmtId="0" xfId="0" applyFont="1" applyFill="1" applyBorder="1" applyAlignment="1">
      <alignment vertical="center"/>
    </xf>
    <xf fontId="32" fillId="4" borderId="24" numFmtId="0" xfId="0" applyFont="1" applyFill="1" applyBorder="1" applyAlignment="1">
      <alignment horizontal="left" vertical="center" wrapText="1"/>
    </xf>
    <xf fontId="33" fillId="4" borderId="53" numFmtId="0" xfId="0" applyFont="1" applyFill="1" applyBorder="1" applyAlignment="1">
      <alignment horizontal="left" readingOrder="0" vertical="center" wrapText="1"/>
    </xf>
    <xf fontId="33" fillId="4" borderId="57" numFmtId="0" xfId="0" applyFont="1" applyFill="1" applyBorder="1" applyAlignment="1">
      <alignment horizontal="left" readingOrder="0" wrapText="1"/>
    </xf>
    <xf fontId="33" fillId="15" borderId="27" numFmtId="0" xfId="0" applyFont="1" applyFill="1" applyBorder="1" applyAlignment="1">
      <alignment horizontal="center" readingOrder="0" vertical="center" wrapText="1"/>
    </xf>
    <xf fontId="34" fillId="4" borderId="57" numFmtId="15" xfId="0" applyNumberFormat="1" applyFont="1" applyFill="1" applyBorder="1" applyAlignment="1">
      <alignment horizontal="right" readingOrder="0" vertical="center" wrapText="1"/>
    </xf>
    <xf fontId="33" fillId="6" borderId="36" numFmtId="0" xfId="0" applyFont="1" applyFill="1" applyBorder="1" applyAlignment="1">
      <alignment horizontal="left" readingOrder="0" wrapText="1"/>
    </xf>
    <xf fontId="33" fillId="4" borderId="31" numFmtId="0" xfId="0" applyFont="1" applyFill="1" applyBorder="1" applyAlignment="1">
      <alignment horizontal="left" readingOrder="0" wrapText="1"/>
    </xf>
    <xf fontId="32" fillId="4" borderId="30" numFmtId="0" xfId="0" applyFont="1" applyFill="1" applyBorder="1" applyAlignment="1">
      <alignment horizontal="left" vertical="center" wrapText="1"/>
    </xf>
    <xf fontId="32" fillId="6" borderId="39" numFmtId="0" xfId="0" applyFont="1" applyFill="1" applyBorder="1" applyAlignment="1">
      <alignment horizontal="left" vertical="center" wrapText="1"/>
    </xf>
    <xf fontId="33" fillId="4" borderId="33" numFmtId="0" xfId="0" applyFont="1" applyFill="1" applyBorder="1" applyAlignment="1">
      <alignment horizontal="center" readingOrder="0" vertical="center" wrapText="1"/>
    </xf>
    <xf fontId="34" fillId="4" borderId="64" numFmtId="15" xfId="0" applyNumberFormat="1" applyFont="1" applyFill="1" applyBorder="1" applyAlignment="1">
      <alignment horizontal="right" readingOrder="0" vertical="center" wrapText="1"/>
    </xf>
    <xf fontId="34" fillId="6" borderId="65" numFmtId="15" xfId="0" applyNumberFormat="1" applyFont="1" applyFill="1" applyBorder="1" applyAlignment="1">
      <alignment horizontal="right" readingOrder="0" vertical="center" wrapText="1"/>
    </xf>
    <xf fontId="32" fillId="6" borderId="35" numFmtId="0" xfId="0" applyFont="1" applyFill="1" applyBorder="1" applyAlignment="1">
      <alignment horizontal="left" vertical="center" wrapText="1"/>
    </xf>
    <xf fontId="33" fillId="4" borderId="66" numFmtId="0" xfId="0" applyFont="1" applyFill="1" applyBorder="1" applyAlignment="1">
      <alignment horizontal="left" readingOrder="0" vertical="center" wrapText="1"/>
    </xf>
    <xf fontId="34" fillId="4" borderId="67" numFmtId="15" xfId="0" applyNumberFormat="1" applyFont="1" applyFill="1" applyBorder="1" applyAlignment="1">
      <alignment horizontal="right" readingOrder="0" vertical="center" wrapText="1"/>
    </xf>
    <xf fontId="32" fillId="6" borderId="40" numFmtId="0" xfId="0" applyFont="1" applyFill="1" applyBorder="1" applyAlignment="1">
      <alignment horizontal="left" readingOrder="0" vertical="center" wrapText="1"/>
    </xf>
    <xf fontId="34" fillId="6" borderId="65" numFmtId="15" xfId="0" applyNumberFormat="1" applyFont="1" applyFill="1" applyBorder="1" applyAlignment="1">
      <alignment horizontal="right" readingOrder="0" vertical="center" wrapText="1"/>
    </xf>
    <xf fontId="32" fillId="6" borderId="40" numFmtId="0" xfId="0" applyFont="1" applyFill="1" applyBorder="1" applyAlignment="1">
      <alignment horizontal="left" vertical="center" wrapText="1"/>
    </xf>
    <xf fontId="34" fillId="4" borderId="64" numFmtId="15" xfId="0" applyNumberFormat="1" applyFont="1" applyFill="1" applyBorder="1" applyAlignment="1">
      <alignment horizontal="right" readingOrder="0" vertical="center" wrapText="1"/>
    </xf>
    <xf fontId="32" fillId="4" borderId="68" numFmtId="0" xfId="0" applyFont="1" applyFill="1" applyBorder="1" applyAlignment="1">
      <alignment horizontal="left" readingOrder="0" vertical="center" wrapText="1"/>
    </xf>
    <xf fontId="33" fillId="4" borderId="64" numFmtId="0" xfId="0" applyFont="1" applyFill="1" applyBorder="1" applyAlignment="1">
      <alignment horizontal="left" readingOrder="0" vertical="center" wrapText="1"/>
    </xf>
    <xf fontId="33" fillId="4" borderId="45" numFmtId="0" xfId="0" applyFont="1" applyFill="1" applyBorder="1" applyAlignment="1">
      <alignment horizontal="left" readingOrder="0" vertical="center" wrapText="1"/>
    </xf>
    <xf fontId="34" fillId="4" borderId="50" numFmtId="15" xfId="0" applyNumberFormat="1" applyFont="1" applyFill="1" applyBorder="1" applyAlignment="1">
      <alignment horizontal="right" readingOrder="0" vertical="center" wrapText="1"/>
    </xf>
    <xf fontId="1" fillId="0" borderId="0" numFmtId="0" xfId="0" applyFont="1"/>
    <xf fontId="1" fillId="0" borderId="0" numFmtId="0" xfId="0" applyFont="1" applyAlignment="1">
      <alignment readingOrder="0"/>
    </xf>
    <xf fontId="52" fillId="2" borderId="69" numFmtId="0" xfId="0" applyFont="1" applyFill="1" applyBorder="1" applyAlignment="1">
      <alignment horizontal="left" readingOrder="0" vertical="center" wrapText="1"/>
    </xf>
    <xf fontId="52" fillId="2" borderId="70" numFmtId="0" xfId="0" applyFont="1" applyFill="1" applyBorder="1" applyAlignment="1">
      <alignment horizontal="left" readingOrder="0" vertical="center" wrapText="1"/>
    </xf>
    <xf fontId="53" fillId="3" borderId="71" numFmtId="0" xfId="0" applyFont="1" applyFill="1" applyBorder="1" applyAlignment="1">
      <alignment horizontal="left" readingOrder="0" vertical="center" wrapText="1"/>
    </xf>
    <xf fontId="53" fillId="3" borderId="72" numFmtId="0" xfId="0" applyFont="1" applyFill="1" applyBorder="1" applyAlignment="1">
      <alignment horizontal="left" readingOrder="0" vertical="center" wrapText="1"/>
    </xf>
    <xf fontId="0" fillId="0" borderId="73" numFmtId="0" xfId="0" applyBorder="1" applyAlignment="1">
      <alignment horizontal="left" readingOrder="0" wrapText="1"/>
    </xf>
    <xf fontId="54" fillId="6" borderId="25" numFmtId="0" xfId="0" applyFont="1" applyFill="1" applyBorder="1" applyAlignment="1">
      <alignment horizontal="left" readingOrder="0" vertical="center" wrapText="1"/>
    </xf>
    <xf fontId="55" fillId="6" borderId="25" numFmtId="0" xfId="0" applyFont="1" applyFill="1" applyBorder="1" applyAlignment="1">
      <alignment horizontal="left" readingOrder="0" vertical="center" wrapText="1"/>
    </xf>
    <xf fontId="33" fillId="6" borderId="74" numFmtId="0" xfId="0" applyFont="1" applyFill="1" applyBorder="1" applyAlignment="1">
      <alignment horizontal="center" readingOrder="0" vertical="center" wrapText="1"/>
    </xf>
    <xf fontId="35" fillId="6" borderId="24" numFmtId="0" xfId="0" applyFont="1" applyFill="1" applyBorder="1" applyAlignment="1">
      <alignment horizontal="left" vertical="center" wrapText="1"/>
    </xf>
    <xf fontId="55" fillId="4" borderId="31" numFmtId="0" xfId="0" applyFont="1" applyFill="1" applyBorder="1" applyAlignment="1">
      <alignment horizontal="left" readingOrder="0" vertical="center" wrapText="1"/>
    </xf>
    <xf fontId="33" fillId="4" borderId="31" numFmtId="0" xfId="0" applyFont="1" applyFill="1" applyBorder="1" applyAlignment="1">
      <alignment horizontal="center" readingOrder="0" vertical="center" wrapText="1"/>
    </xf>
    <xf fontId="55" fillId="6" borderId="36" numFmtId="0" xfId="0" applyFont="1" applyFill="1" applyBorder="1" applyAlignment="1">
      <alignment horizontal="left" readingOrder="0" vertical="center" wrapText="1"/>
    </xf>
    <xf fontId="33" fillId="6" borderId="36" numFmtId="0" xfId="0" applyFont="1" applyFill="1" applyBorder="1" applyAlignment="1">
      <alignment horizontal="center" readingOrder="0" vertical="center" wrapText="1"/>
    </xf>
    <xf fontId="33" fillId="6" borderId="75" numFmtId="0" xfId="0" applyFont="1" applyFill="1" applyBorder="1" applyAlignment="1">
      <alignment horizontal="center" readingOrder="0" vertical="center" wrapText="1"/>
    </xf>
    <xf fontId="0" fillId="4" borderId="30" numFmtId="0" xfId="0" applyFill="1" applyBorder="1" applyAlignment="1">
      <alignment horizontal="left" readingOrder="0" vertical="center" wrapText="1"/>
    </xf>
    <xf fontId="55" fillId="4" borderId="76" numFmtId="0" xfId="0" applyFont="1" applyFill="1" applyBorder="1" applyAlignment="1">
      <alignment horizontal="left" readingOrder="0" vertical="center" wrapText="1"/>
    </xf>
    <xf fontId="0" fillId="4" borderId="30" numFmtId="0" xfId="0" applyFill="1" applyBorder="1" applyAlignment="1">
      <alignment horizontal="left" vertical="center" wrapText="1"/>
    </xf>
    <xf fontId="55" fillId="6" borderId="76" numFmtId="0" xfId="0" applyFont="1" applyFill="1" applyBorder="1" applyAlignment="1">
      <alignment horizontal="left" readingOrder="0" vertical="center" wrapText="1"/>
    </xf>
    <xf fontId="0" fillId="6" borderId="39" numFmtId="0" xfId="0" applyFill="1" applyBorder="1" applyAlignment="1">
      <alignment horizontal="left" readingOrder="0" vertical="center" wrapText="1"/>
    </xf>
    <xf fontId="0" fillId="6" borderId="39" numFmtId="0" xfId="0" applyFill="1" applyBorder="1" applyAlignment="1">
      <alignment horizontal="left" vertical="center" wrapText="1"/>
    </xf>
    <xf fontId="55" fillId="6" borderId="48" numFmtId="0" xfId="0" applyFont="1" applyFill="1" applyBorder="1" applyAlignment="1">
      <alignment horizontal="left" readingOrder="0" vertical="center" wrapText="1"/>
    </xf>
    <xf fontId="55" fillId="6" borderId="77" numFmtId="0" xfId="0" applyFont="1" applyFill="1" applyBorder="1" applyAlignment="1">
      <alignment horizontal="left" readingOrder="0" vertical="center" wrapText="1"/>
    </xf>
  </cellXfs>
  <cellStyles count="1">
    <cellStyle name="Normal" xfId="0" builtinId="0"/>
  </cellStyles>
  <dxfs count="4">
    <dxf>
      <font/>
      <fill>
        <patternFill patternType="solid">
          <fgColor indexed="65"/>
          <bgColor indexed="65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rgb="FF5B3F86"/>
          <bgColor rgb="FF5B3F86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rgb="FFF8F9FA"/>
          <bgColor rgb="FFF8F9FA"/>
        </patternFill>
      </fill>
      <border>
        <left style="none"/>
        <right style="none"/>
        <top style="none"/>
        <bottom style="none"/>
        <diagonal style="none"/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diagonal style="none"/>
      </border>
    </dxf>
  </dxfs>
  <tableStyles count="1" defaultTableStyle="TableStyleMedium2" defaultPivotStyle="PivotStyleLight16">
    <tableStyle name="Form Responses 1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drive.google.com/file/d/1PuBg2d5StBYpYwuPsw6KcV7FCR_YQpHQ/view?usp=drivesdk" TargetMode="External"/><Relationship  Id="rId10" Type="http://schemas.openxmlformats.org/officeDocument/2006/relationships/hyperlink" Target="https://drive.google.com/file/d/11JU-V0FKj7GE9x_svf3Zfd9rU_p2E5J5/view?usp=drivesdk" TargetMode="External"/><Relationship  Id="rId100" Type="http://schemas.openxmlformats.org/officeDocument/2006/relationships/hyperlink" Target="https://drive.google.com/file/d/1wOn8cDcFSPtvjj8H3m-sSDYbUCmQSEeE/view?usp=drivesdk" TargetMode="External"/><Relationship  Id="rId101" Type="http://schemas.openxmlformats.org/officeDocument/2006/relationships/hyperlink" Target="https://drive.google.com/file/d/1BZhBcOgMsscdDhIgSbtj1KQMQPwyap06/view?usp=drivesdk" TargetMode="External"/><Relationship  Id="rId102" Type="http://schemas.openxmlformats.org/officeDocument/2006/relationships/hyperlink" Target="https://drive.google.com/file/d/1w4fFHI5u6AOANZJGRfSg5YbkWVXPTN8s/view?usp=drivesdk" TargetMode="External"/><Relationship  Id="rId103" Type="http://schemas.openxmlformats.org/officeDocument/2006/relationships/hyperlink" Target="https://drive.google.com/file/d/14EOvKBbcCH4fCkc47aly1-CyueCGYV7E/view?usp=drivesdk" TargetMode="External"/><Relationship  Id="rId104" Type="http://schemas.openxmlformats.org/officeDocument/2006/relationships/hyperlink" Target="https://drive.google.com/file/d/1WvyFA2gBhDgfesew7cryv5FJ4g-s8YeA/view?usp=drivesdk" TargetMode="External"/><Relationship  Id="rId105" Type="http://schemas.openxmlformats.org/officeDocument/2006/relationships/hyperlink" Target="https://drive.google.com/file/d/1rWv-YrjXxlRLEz3JyOidnmbW2aWmx3ns/view?usp=drivesdk" TargetMode="External"/><Relationship  Id="rId106" Type="http://schemas.openxmlformats.org/officeDocument/2006/relationships/hyperlink" Target="https://drive.google.com/file/d/1yxAjCpcuQqbAXC2zEjfcIy9hA3SgyC-P/view?usp=drivesdk" TargetMode="External"/><Relationship  Id="rId107" Type="http://schemas.openxmlformats.org/officeDocument/2006/relationships/hyperlink" Target="https://drive.google.com/file/d/1A-fmuN1rxnpghd9Kc815xUH2c9XQxEk0/view?usp=drivesdk" TargetMode="External"/><Relationship  Id="rId108" Type="http://schemas.openxmlformats.org/officeDocument/2006/relationships/hyperlink" Target="https://drive.google.com/file/d/1LYiLZYjsimo6DOgo_JaPQVxmWJN2eWB0/view?usp=drivesdk" TargetMode="External"/><Relationship  Id="rId109" Type="http://schemas.openxmlformats.org/officeDocument/2006/relationships/hyperlink" Target="https://drive.google.com/file/d/1WM7qpY2g_bnyb-dNwHD4Zilc2MsaEM68/view?usp=drivesdk" TargetMode="External"/><Relationship  Id="rId11" Type="http://schemas.openxmlformats.org/officeDocument/2006/relationships/hyperlink" Target="https://drive.google.com/file/d/1pai4CI2hhtKUL-IUqV0Yh4owP9umVJUg/view?usp=drivesdk" TargetMode="External"/><Relationship  Id="rId110" Type="http://schemas.openxmlformats.org/officeDocument/2006/relationships/hyperlink" Target="https://drive.google.com/file/d/19BswsiSvaEuXk2hAxllkLDiP3bjDKxTo/view?usp=drivesdk" TargetMode="External"/><Relationship  Id="rId111" Type="http://schemas.openxmlformats.org/officeDocument/2006/relationships/hyperlink" Target="https://drive.google.com/file/d/1DGDRY4UikR6wvPBJZVCoPAdN9xmI5GcK/view?usp=drivesdk" TargetMode="External"/><Relationship  Id="rId112" Type="http://schemas.openxmlformats.org/officeDocument/2006/relationships/hyperlink" Target="https://drive.google.com/file/d/1NYEQ3baCCWOPoF6s0fwbBj8I0X0lz4KG/view?usp=drivesdk" TargetMode="External"/><Relationship  Id="rId113" Type="http://schemas.openxmlformats.org/officeDocument/2006/relationships/hyperlink" Target="https://drive.google.com/file/d/1t7V2P8UgGK95cEustX0-ONDJ598S__AA/view?usp=drivesdk" TargetMode="External"/><Relationship  Id="rId114" Type="http://schemas.openxmlformats.org/officeDocument/2006/relationships/hyperlink" Target="https://drive.google.com/file/d/1YebmPeo01FNlp0OqGslRX134vfy1n4g2/view?usp=drivesdk" TargetMode="External"/><Relationship  Id="rId115" Type="http://schemas.openxmlformats.org/officeDocument/2006/relationships/hyperlink" Target="https://drive.google.com/file/d/1QJIBQSDLV-eh_g3FmCztpMP81HVoekFd/view?usp=drivesdk" TargetMode="External"/><Relationship  Id="rId116" Type="http://schemas.openxmlformats.org/officeDocument/2006/relationships/hyperlink" Target="https://drive.google.com/file/d/1AMpsAEoGxXR8JxtM_ncYVBFgfSO5UF3n/view?usp=drivesdk" TargetMode="External"/><Relationship  Id="rId117" Type="http://schemas.openxmlformats.org/officeDocument/2006/relationships/hyperlink" Target="https://drive.google.com/file/d/1fXY4rBiJD5ZTm_QsSw2BrMnzI_Qyux0m/view?usp=drivesdk" TargetMode="External"/><Relationship  Id="rId118" Type="http://schemas.openxmlformats.org/officeDocument/2006/relationships/hyperlink" Target="https://drive.google.com/file/d/1QbcMJ8KZ1JNUItQnzCtzxl-uPKkhLmVn/view?usp=drivesdk" TargetMode="External"/><Relationship  Id="rId119" Type="http://schemas.openxmlformats.org/officeDocument/2006/relationships/hyperlink" Target="https://drive.google.com/file/d/1pPobSkz5KpPAyDAZv770KFxzQxJqnB5I/view?usp=drivesdk" TargetMode="External"/><Relationship  Id="rId12" Type="http://schemas.openxmlformats.org/officeDocument/2006/relationships/hyperlink" Target="https://drive.google.com/file/d/1p5WBdZuOA21rpQiHGMUa0ZE03zMqZXhv/view?usp=drivesdk" TargetMode="External"/><Relationship  Id="rId120" Type="http://schemas.openxmlformats.org/officeDocument/2006/relationships/hyperlink" Target="https://drive.google.com/file/d/1MwctWHdwCn0jiQUO8b-ZIeWlm0XIsTi0/view?usp=drivesdk" TargetMode="External"/><Relationship  Id="rId121" Type="http://schemas.openxmlformats.org/officeDocument/2006/relationships/hyperlink" Target="https://drive.google.com/file/d/1JVmHJ10YrhJJgxfIjh-2UHO61NgTr8cE/view?usp=drivesdk" TargetMode="External"/><Relationship  Id="rId122" Type="http://schemas.openxmlformats.org/officeDocument/2006/relationships/hyperlink" Target="https://drive.google.com/file/d/14ZUu-iBafKfa9HtxICkSM_1W7rVeVmbI/view?usp=drivesdk" TargetMode="External"/><Relationship  Id="rId123" Type="http://schemas.openxmlformats.org/officeDocument/2006/relationships/hyperlink" Target="https://drive.google.com/file/d/1m6huuxPftcWupVJGWKiU6UaqPlZkJAVM/view?usp=drivesdk" TargetMode="External"/><Relationship  Id="rId124" Type="http://schemas.openxmlformats.org/officeDocument/2006/relationships/hyperlink" Target="https://drive.google.com/file/d/1RwrhmEsZiSnh1ZFRcHppbLSJmj7fOiSH/view?usp=drivesdk" TargetMode="External"/><Relationship  Id="rId125" Type="http://schemas.openxmlformats.org/officeDocument/2006/relationships/hyperlink" Target="https://drive.google.com/file/d/17D0s87dfdhpwupAtE_yzaeq9DTQhXC7O/view?usp=drivesdk" TargetMode="External"/><Relationship  Id="rId126" Type="http://schemas.openxmlformats.org/officeDocument/2006/relationships/hyperlink" Target="https://drive.google.com/file/d/1ueELZbY7WSH-8sB2LFS2A4GCbq2slcWf/view?usp=drivesdk" TargetMode="External"/><Relationship  Id="rId127" Type="http://schemas.openxmlformats.org/officeDocument/2006/relationships/hyperlink" Target="https://drive.google.com/file/d/1lioc6XSL-X_lWpXOhDbl8TNWjZydlg3Z/view?usp=drivesdk" TargetMode="External"/><Relationship  Id="rId128" Type="http://schemas.openxmlformats.org/officeDocument/2006/relationships/hyperlink" Target="https://drive.google.com/file/d/1q1jXXZQSy6LlwQTAHH807YDPNzM8u3nh/view?usp=drivesdk" TargetMode="External"/><Relationship  Id="rId129" Type="http://schemas.openxmlformats.org/officeDocument/2006/relationships/hyperlink" Target="https://drive.google.com/file/d/1tKhR0H6qkNYOMfQTfMqgSvYOfaOm5D9j/view?usp=drivesdk" TargetMode="External"/><Relationship  Id="rId13" Type="http://schemas.openxmlformats.org/officeDocument/2006/relationships/hyperlink" Target="https://drive.google.com/file/d/1DTlcTiht5Ouj5MUwgm0iefzbMjtGECoI/view?usp=drivesdk" TargetMode="External"/><Relationship  Id="rId130" Type="http://schemas.openxmlformats.org/officeDocument/2006/relationships/hyperlink" Target="https://drive.google.com/file/d/1tbkZCQWjKjAqvtIWvC_DW5eDPli0AMJ-/view?usp=drivesdk" TargetMode="External"/><Relationship  Id="rId131" Type="http://schemas.openxmlformats.org/officeDocument/2006/relationships/hyperlink" Target="https://drive.google.com/file/d/1_FZysDn8oCxFLSBzjIZ_veZjlGJbc-rD/view?usp=drivesdk" TargetMode="External"/><Relationship  Id="rId132" Type="http://schemas.openxmlformats.org/officeDocument/2006/relationships/hyperlink" Target="https://drive.google.com/file/d/1DRK7xrpapV8UrPzS_5-CtcdLiOHgx5sL/view?usp=drivesdk" TargetMode="External"/><Relationship  Id="rId133" Type="http://schemas.openxmlformats.org/officeDocument/2006/relationships/hyperlink" Target="https://drive.google.com/file/d/13CaKV4w0V0yAOhxbarLx0vWiB06KvCtQ/view?usp=drivesdk" TargetMode="External"/><Relationship  Id="rId134" Type="http://schemas.openxmlformats.org/officeDocument/2006/relationships/hyperlink" Target="https://drive.google.com/file/d/195erdB_CwDviiWwmdSiNrAUoRaCmyoj2/view?usp=drivesdk" TargetMode="External"/><Relationship  Id="rId135" Type="http://schemas.openxmlformats.org/officeDocument/2006/relationships/hyperlink" Target="https://drive.google.com/file/d/1lehOWZv_GRvuIdWwb5xZrjJeNcR9WexZ/view?usp=drivesdk" TargetMode="External"/><Relationship  Id="rId136" Type="http://schemas.openxmlformats.org/officeDocument/2006/relationships/hyperlink" Target="https://drive.google.com/file/d/1P9TnjPethC4iYtxx3uiVTGKYwZHvsLz3/view?usp=drivesdk" TargetMode="External"/><Relationship  Id="rId137" Type="http://schemas.openxmlformats.org/officeDocument/2006/relationships/hyperlink" Target="https://drive.google.com/file/d/10nVHb9v4QE0_S8c0JC3JLXIvxVneLoHF/view?usp=drivesdk" TargetMode="External"/><Relationship  Id="rId138" Type="http://schemas.openxmlformats.org/officeDocument/2006/relationships/hyperlink" Target="https://drive.google.com/file/d/1AQpA5X_OxE6fBo07x_yvzQ8FWWRooqmK/view?usp=drivesdk" TargetMode="External"/><Relationship  Id="rId139" Type="http://schemas.openxmlformats.org/officeDocument/2006/relationships/hyperlink" Target="https://drive.google.com/file/d/1q6kzZAsVlVhLCXzTWON1N4_PoHuN753E/view?usp=drivesdk" TargetMode="External"/><Relationship  Id="rId14" Type="http://schemas.openxmlformats.org/officeDocument/2006/relationships/hyperlink" Target="https://drive.google.com/file/d/13euunsFUSRbNUSAV1bdCB1UN_oSxKwcq/view?usp=drivesdk" TargetMode="External"/><Relationship  Id="rId140" Type="http://schemas.openxmlformats.org/officeDocument/2006/relationships/hyperlink" Target="https://drive.google.com/file/d/1EaUrbmovKv6-iNI2MYjExzamEd1k6J3j/view?usp=drivesdk" TargetMode="External"/><Relationship  Id="rId141" Type="http://schemas.openxmlformats.org/officeDocument/2006/relationships/hyperlink" Target="https://drive.google.com/file/d/12k4cUMVgaYhljNI1GFkxd1BoBQv4OjmZ/view?usp=drivesdk" TargetMode="External"/><Relationship  Id="rId142" Type="http://schemas.openxmlformats.org/officeDocument/2006/relationships/hyperlink" Target="https://drive.google.com/file/d/1LuN56hTTln3crhEFROVZlgWGd_FP4421/view?usp=drivesdk" TargetMode="External"/><Relationship  Id="rId143" Type="http://schemas.openxmlformats.org/officeDocument/2006/relationships/hyperlink" Target="https://drive.google.com/file/d/1uKL0ufmuuBXJBXH9ebVgtSnqgnShzwkQ/view?usp=drivesdk" TargetMode="External"/><Relationship  Id="rId144" Type="http://schemas.openxmlformats.org/officeDocument/2006/relationships/hyperlink" Target="https://drive.google.com/file/d/1CPYrpZYs80zI_8cyJ5KM6pSeVBGHia03/view?usp=drivesdk" TargetMode="External"/><Relationship  Id="rId145" Type="http://schemas.openxmlformats.org/officeDocument/2006/relationships/hyperlink" Target="https://drive.google.com/file/d/10pXev038AR5ZijeuLmBVI_1cH0snvaa-/view?usp=drivesdk" TargetMode="External"/><Relationship  Id="rId146" Type="http://schemas.openxmlformats.org/officeDocument/2006/relationships/hyperlink" Target="https://drive.google.com/file/d/1OhqOt2_3mEGRf99wec1ZQM9qEpht2NFH/view?usp=drivesdk" TargetMode="External"/><Relationship  Id="rId147" Type="http://schemas.openxmlformats.org/officeDocument/2006/relationships/hyperlink" Target="https://drive.google.com/file/d/1eeVS5heDNIk5JXFInogJszBBsYoA6m2h/view?usp=drivesdk" TargetMode="External"/><Relationship  Id="rId148" Type="http://schemas.openxmlformats.org/officeDocument/2006/relationships/hyperlink" Target="https://drive.google.com/file/d/1TwPsgwy03_frirytlBvtZ8JpEyPeKIMF/view?usp=drivesdk" TargetMode="External"/><Relationship  Id="rId149" Type="http://schemas.openxmlformats.org/officeDocument/2006/relationships/hyperlink" Target="https://drive.google.com/file/d/1MWdY09w2IQtisJkGLvIcjboGysTjRvKC/view?usp=drivesdk" TargetMode="External"/><Relationship  Id="rId15" Type="http://schemas.openxmlformats.org/officeDocument/2006/relationships/hyperlink" Target="https://drive.google.com/file/d/1Ot_S0yHVyIkjWxiopnd_MQ2TA0Q3EGoD/view?usp=drivesdk" TargetMode="External"/><Relationship  Id="rId150" Type="http://schemas.openxmlformats.org/officeDocument/2006/relationships/hyperlink" Target="https://drive.google.com/file/d/1KcwvvvDB7CKlB4-eJH-YTf5wA00SdYyJ/view?usp=drivesdk" TargetMode="External"/><Relationship  Id="rId151" Type="http://schemas.openxmlformats.org/officeDocument/2006/relationships/hyperlink" Target="https://drive.google.com/file/d/1TXZkiaoDXxtsNyzABbMrK9jRynf0Ini8/view?usp=drivesdk" TargetMode="External"/><Relationship  Id="rId152" Type="http://schemas.openxmlformats.org/officeDocument/2006/relationships/hyperlink" Target="https://drive.google.com/file/d/1XNy3yXLtcrAzceIEoOGC4CLw51acxoiP/view?usp=drivesdk" TargetMode="External"/><Relationship  Id="rId153" Type="http://schemas.openxmlformats.org/officeDocument/2006/relationships/hyperlink" Target="https://drive.google.com/file/d/1FhPCTCYR56g15R32FgF8pX1cN3rirpmc/view?usp=drivesdk" TargetMode="External"/><Relationship  Id="rId154" Type="http://schemas.openxmlformats.org/officeDocument/2006/relationships/hyperlink" Target="https://drive.google.com/file/d/1H_kQmBARSBT7NyBU7vpDSlztgrKErIqO/view?usp=drivesdk" TargetMode="External"/><Relationship  Id="rId155" Type="http://schemas.openxmlformats.org/officeDocument/2006/relationships/hyperlink" Target="https://drive.google.com/file/d/1xaP73cUl_c7K6uEGh32xRmWQdWqbSyVE/view?usp=drivesdk" TargetMode="External"/><Relationship  Id="rId156" Type="http://schemas.openxmlformats.org/officeDocument/2006/relationships/hyperlink" Target="https://drive.google.com/file/d/1xxvE01SPJIFqp7AMSjeQqIrUQJwRC3D7/view?usp=drivesdk" TargetMode="External"/><Relationship  Id="rId157" Type="http://schemas.openxmlformats.org/officeDocument/2006/relationships/hyperlink" Target="https://drive.google.com/file/d/1eqACz7Tn6SRm8CYBNq2VHaQdGABDC_gS/view?usp=drivesdk" TargetMode="External"/><Relationship  Id="rId158" Type="http://schemas.openxmlformats.org/officeDocument/2006/relationships/hyperlink" Target="https://drive.google.com/file/d/1u5EtHaOxTzcTTeInmYhoIh1D6gkI7kcu/view?usp=drivesdk" TargetMode="External"/><Relationship  Id="rId159" Type="http://schemas.openxmlformats.org/officeDocument/2006/relationships/hyperlink" Target="https://drive.google.com/file/d/1TWDWRdaeUh9n2dHWhH-iFv-jN0hUyHj3/view?usp=drivesdk" TargetMode="External"/><Relationship  Id="rId16" Type="http://schemas.openxmlformats.org/officeDocument/2006/relationships/hyperlink" Target="https://drive.google.com/file/d/1ZYHVRvKMlV4j3K4gMffuHS3WYuAYrJDQ/view?usp=drivesdk" TargetMode="External"/><Relationship  Id="rId160" Type="http://schemas.openxmlformats.org/officeDocument/2006/relationships/hyperlink" Target="https://drive.google.com/file/d/1vuC4kzHeyWFP7W-5GYtB71ehxWNcQvt5/view?usp=drivesdk" TargetMode="External"/><Relationship  Id="rId161" Type="http://schemas.openxmlformats.org/officeDocument/2006/relationships/hyperlink" Target="https://drive.google.com/file/d/1Vnf_Gd689fVXahICarZhZVcdqOYwxszn/view?usp=drivesdk" TargetMode="External"/><Relationship  Id="rId162" Type="http://schemas.openxmlformats.org/officeDocument/2006/relationships/hyperlink" Target="https://drive.google.com/file/d/1rWGveXfXcSoazhYBcIGH5rM3jY5J1i_3/view?usp=drivesdk" TargetMode="External"/><Relationship  Id="rId163" Type="http://schemas.openxmlformats.org/officeDocument/2006/relationships/hyperlink" Target="https://drive.google.com/file/d/1n0IGABF2qko83ysB_gJOyDsNmc0bVinP/view?usp=drivesdk" TargetMode="External"/><Relationship  Id="rId164" Type="http://schemas.openxmlformats.org/officeDocument/2006/relationships/hyperlink" Target="https://drive.google.com/file/d/1LArfLOeCmHb5nh78KJYMNgiAhRkApOYP/view?usp=drivesdk" TargetMode="External"/><Relationship  Id="rId165" Type="http://schemas.openxmlformats.org/officeDocument/2006/relationships/hyperlink" Target="https://drive.google.com/file/d/1sOcYXh44s39vzXtjEhd1TCpvstgmjJ8X/view?usp=drivesdk" TargetMode="External"/><Relationship  Id="rId166" Type="http://schemas.openxmlformats.org/officeDocument/2006/relationships/hyperlink" Target="https://drive.google.com/file/d/1LeSZpc1l-jD57jCqonYVUJkeAJM9F4r-/view?usp=drivesdk" TargetMode="External"/><Relationship  Id="rId167" Type="http://schemas.openxmlformats.org/officeDocument/2006/relationships/hyperlink" Target="https://drive.google.com/file/d/1GTO1aw8IcrPVFnfGbrhbq2SYG7nxfiOw/view?usp=drivesdk" TargetMode="External"/><Relationship  Id="rId168" Type="http://schemas.openxmlformats.org/officeDocument/2006/relationships/hyperlink" Target="https://drive.google.com/file/d/1VF2_n-hXUqdyJkPn4OPuwo0cqKT1wYge/view?usp=drivesdk" TargetMode="External"/><Relationship  Id="rId169" Type="http://schemas.openxmlformats.org/officeDocument/2006/relationships/hyperlink" Target="https://drive.google.com/file/d/14KYbSp5deUFQaeforHKVlKUiYVh3sfQY/view?usp=drivesdk" TargetMode="External"/><Relationship  Id="rId17" Type="http://schemas.openxmlformats.org/officeDocument/2006/relationships/hyperlink" Target="https://drive.google.com/file/d/1gssyKJmRAltP2gY55wMGZCEbn7MNMM8r/view?usp=drivesdk" TargetMode="External"/><Relationship  Id="rId170" Type="http://schemas.openxmlformats.org/officeDocument/2006/relationships/hyperlink" Target="https://drive.google.com/file/d/1zMiVLBtDcV13gDI3bquTeXW2YSC1thrT/view?usp=drivesdk" TargetMode="External"/><Relationship  Id="rId171" Type="http://schemas.openxmlformats.org/officeDocument/2006/relationships/hyperlink" Target="https://drive.google.com/file/d/1P-X0-kHiBQhQ-rPJ_Wpd_fqxy0BpN-c5/view?usp=drivesdk" TargetMode="External"/><Relationship  Id="rId172" Type="http://schemas.openxmlformats.org/officeDocument/2006/relationships/hyperlink" Target="https://drive.google.com/file/d/19Ng6brw4ManvAtgNkq19GI8nq2IO4iJe/view?usp=drivesdk" TargetMode="External"/><Relationship  Id="rId173" Type="http://schemas.openxmlformats.org/officeDocument/2006/relationships/hyperlink" Target="https://drive.google.com/file/d/1OSUvKkU15Cgn6BYIeVuCRz2wnCA_mU6T/view?usp=drivesdk" TargetMode="External"/><Relationship  Id="rId174" Type="http://schemas.openxmlformats.org/officeDocument/2006/relationships/hyperlink" Target="https://drive.google.com/file/d/1JsQcL6eJ6M3-L_1lMltLYevoD91O36pF/view?usp=drivesdk" TargetMode="External"/><Relationship  Id="rId175" Type="http://schemas.openxmlformats.org/officeDocument/2006/relationships/hyperlink" Target="https://drive.google.com/file/d/1xhgosKNRhaFRYUZkzU0zJFlmoUUsd-FG/view?usp=drivesdk" TargetMode="External"/><Relationship  Id="rId176" Type="http://schemas.openxmlformats.org/officeDocument/2006/relationships/hyperlink" Target="https://drive.google.com/file/d/1WADXewh_9wBigkLFUh24uDT7xdOdxYuA/view?usp=drivesdk" TargetMode="External"/><Relationship  Id="rId177" Type="http://schemas.openxmlformats.org/officeDocument/2006/relationships/hyperlink" Target="https://drive.google.com/file/d/1GBMWk_-sP33Nsu03rXBCjlVqeciUQtb-/view?usp=drivesdk" TargetMode="External"/><Relationship  Id="rId178" Type="http://schemas.openxmlformats.org/officeDocument/2006/relationships/hyperlink" Target="https://drive.google.com/file/d/1LdMgNY7PAaguHSQ1sUetDXc569cCpRSd/view?usp=drivesdk" TargetMode="External"/><Relationship  Id="rId179" Type="http://schemas.openxmlformats.org/officeDocument/2006/relationships/hyperlink" Target="https://drive.google.com/file/d/1fU34W5S8POAFrtdM_bakKLLxy9ql4ZOF/view?usp=drivesdk" TargetMode="External"/><Relationship  Id="rId18" Type="http://schemas.openxmlformats.org/officeDocument/2006/relationships/hyperlink" Target="https://drive.google.com/file/d/1aIVFf4U5rWG6QA3MMo7l3TC9YhdHrM5C/view?usp=drivesdk" TargetMode="External"/><Relationship  Id="rId180" Type="http://schemas.openxmlformats.org/officeDocument/2006/relationships/hyperlink" Target="https://drive.google.com/file/d/1MmYPUpjGD1lLpWB6j2aDKw6Q1_-J3x2X/view?usp=drivesdk" TargetMode="External"/><Relationship  Id="rId181" Type="http://schemas.openxmlformats.org/officeDocument/2006/relationships/hyperlink" Target="https://drive.google.com/file/d/1i9fctB4ExLr1NP_qkiL9-dK3XBzjWCff/view?usp=drivesdk" TargetMode="External"/><Relationship  Id="rId182" Type="http://schemas.openxmlformats.org/officeDocument/2006/relationships/hyperlink" Target="https://drive.google.com/file/d/1F44P0RyO2Tuf7J8AMB4ZH8nNG0uXIF9p/view?usp=drivesdk" TargetMode="External"/><Relationship  Id="rId183" Type="http://schemas.openxmlformats.org/officeDocument/2006/relationships/hyperlink" Target="https://drive.google.com/file/d/1NpM516V7kw5uAuzLr8uLefOr8Hkp0Ibz/view?usp=drivesdk" TargetMode="External"/><Relationship  Id="rId184" Type="http://schemas.openxmlformats.org/officeDocument/2006/relationships/hyperlink" Target="https://drive.google.com/file/d/1hES5asLKXrO3vUyrMhU4yn-jkzD4Oyn2/view?usp=drivesdk" TargetMode="External"/><Relationship  Id="rId185" Type="http://schemas.openxmlformats.org/officeDocument/2006/relationships/hyperlink" Target="https://drive.google.com/file/d/1Bx8eIjsn2UbD-Eebh-HRXGc_WzEk5wAn/view?usp=drivesdk" TargetMode="External"/><Relationship  Id="rId186" Type="http://schemas.openxmlformats.org/officeDocument/2006/relationships/hyperlink" Target="https://drive.google.com/file/d/1_gLy1A1k3IzWX8sPqxNeMaHtDPmlby8T/view?usp=drivesdk" TargetMode="External"/><Relationship  Id="rId187" Type="http://schemas.openxmlformats.org/officeDocument/2006/relationships/hyperlink" Target="https://drive.google.com/file/d/129xvh4OCvFENvZdEzfEk240CcJAe8lgI/view?usp=drivesdk" TargetMode="External"/><Relationship  Id="rId188" Type="http://schemas.openxmlformats.org/officeDocument/2006/relationships/hyperlink" Target="https://drive.google.com/file/d/1eUj4GMYEnEy-XeLET7dqkbmbju8N6Mq-/view?usp=drivesdk" TargetMode="External"/><Relationship  Id="rId189" Type="http://schemas.openxmlformats.org/officeDocument/2006/relationships/hyperlink" Target="https://drive.google.com/file/d/1iIC_Ms2xqUgQ7aWpqCZivM2j2GjziWvO/view?usp=drivesdk" TargetMode="External"/><Relationship  Id="rId19" Type="http://schemas.openxmlformats.org/officeDocument/2006/relationships/hyperlink" Target="https://drive.google.com/file/d/1URAOFXnwwHVX-kVGUCsjFuGQKNnK9BYY/view?usp=drivesdk" TargetMode="External"/><Relationship  Id="rId190" Type="http://schemas.openxmlformats.org/officeDocument/2006/relationships/hyperlink" Target="https://drive.google.com/file/d/1Kws5rAEpQ7SYdQpnp3GSAg4KYwg9dAkK/view?usp=drivesdk" TargetMode="External"/><Relationship  Id="rId191" Type="http://schemas.openxmlformats.org/officeDocument/2006/relationships/hyperlink" Target="https://drive.google.com/file/d/1dMf9fCdDO0jMie9YGcrltPpMI-1lHHVt/view?usp=drivesdk" TargetMode="External"/><Relationship  Id="rId192" Type="http://schemas.openxmlformats.org/officeDocument/2006/relationships/hyperlink" Target="https://drive.google.com/file/d/10NKv0ZdsE9EnuC1E1sGsfk7Wpa3ZwLz_/view?usp=drivesdk" TargetMode="External"/><Relationship  Id="rId193" Type="http://schemas.openxmlformats.org/officeDocument/2006/relationships/hyperlink" Target="https://drive.google.com/file/d/1WbO8bLQxFadmypBOHMC-nY-aReqc3pEY/view?usp=drivesdk" TargetMode="External"/><Relationship  Id="rId194" Type="http://schemas.openxmlformats.org/officeDocument/2006/relationships/hyperlink" Target="https://drive.google.com/file/d/1c_17CWdpYf4ZobB-aPQtcnfATZrkaWCW/view?usp=drivesdk" TargetMode="External"/><Relationship  Id="rId195" Type="http://schemas.openxmlformats.org/officeDocument/2006/relationships/hyperlink" Target="https://drive.google.com/file/d/18UfMjgzVQ0Qs5gyAlzsAK3z2GvM4MkpJ/view?usp=drivesdk" TargetMode="External"/><Relationship  Id="rId196" Type="http://schemas.openxmlformats.org/officeDocument/2006/relationships/hyperlink" Target="https://drive.google.com/file/d/1GbkwcAx1SOWfG9-WZZk-nfDApd0mKNLr/view?usp=drivesdk" TargetMode="External"/><Relationship  Id="rId197" Type="http://schemas.openxmlformats.org/officeDocument/2006/relationships/hyperlink" Target="https://drive.google.com/file/d/1Yx6W70J97mk5Kyom_2kfvYNjDrxVxhFR/view?usp=drivesdk" TargetMode="External"/><Relationship  Id="rId198" Type="http://schemas.openxmlformats.org/officeDocument/2006/relationships/hyperlink" Target="https://drive.google.com/file/d/1LaV0oolQAX1M-SAfsTlHsIZwptE_fn6q/view?usp=drivesdk" TargetMode="External"/><Relationship  Id="rId199" Type="http://schemas.openxmlformats.org/officeDocument/2006/relationships/hyperlink" Target="https://drive.google.com/file/d/1JdgVFYjUb7C710n9p33XIfo3PuucXnh2/view?usp=drivesdk" TargetMode="External"/><Relationship  Id="rId2" Type="http://schemas.openxmlformats.org/officeDocument/2006/relationships/hyperlink" Target="https://drive.google.com/file/d/1KpxMKt4cOXKwNR3G5ytOYBkK9K6XOb1P/view?usp=drivesdk" TargetMode="External"/><Relationship  Id="rId20" Type="http://schemas.openxmlformats.org/officeDocument/2006/relationships/hyperlink" Target="https://drive.google.com/file/d/1_hg58-TS-0OBRKfh693vsF40FNhthdSv/view?usp=drivesdk" TargetMode="External"/><Relationship  Id="rId200" Type="http://schemas.openxmlformats.org/officeDocument/2006/relationships/hyperlink" Target="https://drive.google.com/file/d/1Tuj1RTJxA7guHuQ2QW5-ilLBSGm4kJPa/view?usp=drivesdk" TargetMode="External"/><Relationship  Id="rId201" Type="http://schemas.openxmlformats.org/officeDocument/2006/relationships/hyperlink" Target="https://drive.google.com/file/d/1aClCtfB6-xNEGA-7bSDxu3qN1nSnj5ha/view?usp=drivesdk" TargetMode="External"/><Relationship  Id="rId202" Type="http://schemas.openxmlformats.org/officeDocument/2006/relationships/hyperlink" Target="https://drive.google.com/file/d/10t9aQppntziwYhtcqXg8i5Zn_RZOA4aN/view?usp=drivesdk" TargetMode="External"/><Relationship  Id="rId203" Type="http://schemas.openxmlformats.org/officeDocument/2006/relationships/hyperlink" Target="https://drive.google.com/file/d/1HZPIjMFNqy1gPFYJaKDiadyF_Oqwwypd/view?usp=drivesdk" TargetMode="External"/><Relationship  Id="rId204" Type="http://schemas.openxmlformats.org/officeDocument/2006/relationships/hyperlink" Target="https://drive.google.com/file/d/1hoIhHi8rPFD1HZe9lqBoRYt0-qiSQ9cY/view?usp=drivesdk" TargetMode="External"/><Relationship  Id="rId205" Type="http://schemas.openxmlformats.org/officeDocument/2006/relationships/hyperlink" Target="https://drive.google.com/file/d/1p2yGEdGdlxytgTx1c56mFE_F-Ufz6Eiz/view?usp=drivesdk" TargetMode="External"/><Relationship  Id="rId206" Type="http://schemas.openxmlformats.org/officeDocument/2006/relationships/hyperlink" Target="https://drive.google.com/file/d/1Mz3L-R7GmHV7yFVbAJB2G251Y9aQmyUh/view?usp=drivesdk" TargetMode="External"/><Relationship  Id="rId207" Type="http://schemas.openxmlformats.org/officeDocument/2006/relationships/hyperlink" Target="https://drive.google.com/file/d/1nuvfpf-pktxZQ4Fn4othDCzGp4pHBxIT/view?usp=drivesdk" TargetMode="External"/><Relationship  Id="rId208" Type="http://schemas.openxmlformats.org/officeDocument/2006/relationships/hyperlink" Target="https://drive.google.com/file/d/1iplezs2c8Ay5MayLVMTprt5UGBbv9EZO/view?usp=drivesdk" TargetMode="External"/><Relationship  Id="rId209" Type="http://schemas.openxmlformats.org/officeDocument/2006/relationships/hyperlink" Target="https://drive.google.com/file/d/1cCjSxvns3QV3o5W2jIlYVXIwRXY9eFJZ/view?usp=drivesdk" TargetMode="External"/><Relationship  Id="rId21" Type="http://schemas.openxmlformats.org/officeDocument/2006/relationships/hyperlink" Target="https://drive.google.com/file/d/1m3cTb-hPgjCWS9w3VwycBINDjt9cGibc/view?usp=drivesdk" TargetMode="External"/><Relationship  Id="rId210" Type="http://schemas.openxmlformats.org/officeDocument/2006/relationships/hyperlink" Target="https://drive.google.com/file/d/1hS-_HW8eWrZmb6fgo4xHhVVI9Xt7m2gn/view?usp=drivesdk" TargetMode="External"/><Relationship  Id="rId211" Type="http://schemas.openxmlformats.org/officeDocument/2006/relationships/hyperlink" Target="https://drive.google.com/file/d/1CuQqH5D6rDfzkuZ8-zllrGXzt-8DTY6b/view?usp=drivesdk" TargetMode="External"/><Relationship  Id="rId212" Type="http://schemas.openxmlformats.org/officeDocument/2006/relationships/hyperlink" Target="https://drive.google.com/file/d/1T1BHJT9NsdFO3UgJyllJiw-i1c8gLx-j/view?usp=drivesdk" TargetMode="External"/><Relationship  Id="rId213" Type="http://schemas.openxmlformats.org/officeDocument/2006/relationships/hyperlink" Target="https://drive.google.com/file/d/1RqZoUPZrYdtHZl2_c9xAjqL153Lb5WRy/view?usp=drivesdk" TargetMode="External"/><Relationship  Id="rId214" Type="http://schemas.openxmlformats.org/officeDocument/2006/relationships/hyperlink" Target="https://drive.google.com/file/d/1z9r1UbakzixRky6EtppR3ITVxGOMN6Wh/view?usp=drivesdk" TargetMode="External"/><Relationship  Id="rId215" Type="http://schemas.openxmlformats.org/officeDocument/2006/relationships/hyperlink" Target="https://drive.google.com/file/d/1J8DeN54qH2o2ZVhrUdohTsEmhA6_P59I/view?usp=drivesdk" TargetMode="External"/><Relationship  Id="rId216" Type="http://schemas.openxmlformats.org/officeDocument/2006/relationships/hyperlink" Target="https://drive.google.com/file/d/1jHfZCOBm0dR7EaK65eqUfC-y8MuP_sBS/view?usp=drivesdk" TargetMode="External"/><Relationship  Id="rId217" Type="http://schemas.openxmlformats.org/officeDocument/2006/relationships/hyperlink" Target="https://drive.google.com/file/d/1wu8xhB3HtJiS9NLo-YDcr5ryVipTUWyW/view?usp=drivesdk" TargetMode="External"/><Relationship  Id="rId218" Type="http://schemas.openxmlformats.org/officeDocument/2006/relationships/hyperlink" Target="https://drive.google.com/file/d/1o_-nSaJuI8zj6mna45TNyklEXDWX3KlY/view?usp=drivesdk" TargetMode="External"/><Relationship  Id="rId219" Type="http://schemas.openxmlformats.org/officeDocument/2006/relationships/hyperlink" Target="https://drive.google.com/file/d/1VIBPKCQaHzYczVWB2PFhXnuDapMPzMov/view?usp=drivesdk" TargetMode="External"/><Relationship  Id="rId22" Type="http://schemas.openxmlformats.org/officeDocument/2006/relationships/hyperlink" Target="https://drive.google.com/file/d/12McULl2553Az5axxsFAwOVZeEF7klmzi/view?usp=drivesdk" TargetMode="External"/><Relationship  Id="rId220" Type="http://schemas.openxmlformats.org/officeDocument/2006/relationships/hyperlink" Target="https://drive.google.com/file/d/1iiwK5OJTV24LHzTp5IGJCihNclbDlVBt/view?usp=drivesdk" TargetMode="External"/><Relationship  Id="rId221" Type="http://schemas.openxmlformats.org/officeDocument/2006/relationships/hyperlink" Target="https://drive.google.com/file/d/1vX9H8zW7SCIzGRKCMsJCHr1Qa8H67-Ki/view?usp=drivesdk" TargetMode="External"/><Relationship  Id="rId222" Type="http://schemas.openxmlformats.org/officeDocument/2006/relationships/hyperlink" Target="https://drive.google.com/file/d/1Mumd3cHZC2TOIyumN2IqzXoZqfqpba3z/view?usp=drivesdk" TargetMode="External"/><Relationship  Id="rId223" Type="http://schemas.openxmlformats.org/officeDocument/2006/relationships/hyperlink" Target="https://drive.google.com/file/d/1sGugRtwpjXeMEsMK7KBUUtBy9yhhoVvv/view?usp=drivesdk" TargetMode="External"/><Relationship  Id="rId224" Type="http://schemas.openxmlformats.org/officeDocument/2006/relationships/hyperlink" Target="https://drive.google.com/file/d/11qDDrHhjj7ZD192pBcq64TIMZ8alsZqj/view?usp=drivesdk" TargetMode="External"/><Relationship  Id="rId225" Type="http://schemas.openxmlformats.org/officeDocument/2006/relationships/hyperlink" Target="https://drive.google.com/file/d/1PDoN-z_H1Mt8Dy0DofL4KqpzgRodvPXM/view?usp=drivesdk" TargetMode="External"/><Relationship  Id="rId226" Type="http://schemas.openxmlformats.org/officeDocument/2006/relationships/hyperlink" Target="https://drive.google.com/file/d/1mfY57SpIfPkLQOR2sD7OJz4HZ7qpAEXl/view?usp=drivesdk" TargetMode="External"/><Relationship  Id="rId227" Type="http://schemas.openxmlformats.org/officeDocument/2006/relationships/hyperlink" Target="https://drive.google.com/file/d/1YBsnsM3CPkNbt5WITXG0mFnKpSdpUQ6Z/view?usp=drivesdk" TargetMode="External"/><Relationship  Id="rId228" Type="http://schemas.openxmlformats.org/officeDocument/2006/relationships/hyperlink" Target="https://drive.google.com/file/d/1jwSVH1CyVPk_9vL_nWRcmlowiqzKzFKY/view?usp=drivesdk" TargetMode="External"/><Relationship  Id="rId229" Type="http://schemas.openxmlformats.org/officeDocument/2006/relationships/hyperlink" Target="https://drive.google.com/file/d/1dGcf7KmG0HOEn3QIYLel9oYrbd87-k7L/view?usp=drivesdk" TargetMode="External"/><Relationship  Id="rId23" Type="http://schemas.openxmlformats.org/officeDocument/2006/relationships/hyperlink" Target="https://drive.google.com/file/d/1r3rVdCs-PV46S2Hf81fYLLaThsoaCoD7/view?usp=drivesdk" TargetMode="External"/><Relationship  Id="rId230" Type="http://schemas.openxmlformats.org/officeDocument/2006/relationships/hyperlink" Target="https://drive.google.com/file/d/1OtVDlXi06Knz22wa51NVGpBFGzg98jPG/view?usp=drivesdk" TargetMode="External"/><Relationship  Id="rId231" Type="http://schemas.openxmlformats.org/officeDocument/2006/relationships/hyperlink" Target="https://drive.google.com/file/d/16OT2VsVgVSOsl7oXt148Mk51X4if4xih/view?usp=drivesdk" TargetMode="External"/><Relationship  Id="rId232" Type="http://schemas.openxmlformats.org/officeDocument/2006/relationships/hyperlink" Target="https://drive.google.com/file/d/1zmqt11BHP-b49Mpg4teJro2u_pjSDZtQ/view?usp=drivesdk" TargetMode="External"/><Relationship  Id="rId233" Type="http://schemas.openxmlformats.org/officeDocument/2006/relationships/hyperlink" Target="https://drive.google.com/file/d/1y6XvEc8lsdJQhX2n3u5uUX0pJWzJ-m9C/view?usp=drivesdk" TargetMode="External"/><Relationship  Id="rId234" Type="http://schemas.openxmlformats.org/officeDocument/2006/relationships/hyperlink" Target="https://drive.google.com/file/d/12oJZX0zOCxeyiyPdV8DAUW89y4XPydtV/view?usp=drivesdk" TargetMode="External"/><Relationship  Id="rId235" Type="http://schemas.openxmlformats.org/officeDocument/2006/relationships/hyperlink" Target="https://drive.google.com/file/d/1os72qtt2Z0ibsDYfndDCB6mHFoya68C5/view?usp=drivesdk" TargetMode="External"/><Relationship  Id="rId236" Type="http://schemas.openxmlformats.org/officeDocument/2006/relationships/hyperlink" Target="https://drive.google.com/file/d/1dMVe7aTKqPR16wi0kXgAPH7K0i_1gvsQ/view?usp=drivesdk" TargetMode="External"/><Relationship  Id="rId237" Type="http://schemas.openxmlformats.org/officeDocument/2006/relationships/hyperlink" Target="https://drive.google.com/file/d/1lQrxfn8QvGJpg9Ok4QOBHwv8cfVtFS71/view?usp=drivesdk" TargetMode="External"/><Relationship  Id="rId238" Type="http://schemas.openxmlformats.org/officeDocument/2006/relationships/hyperlink" Target="https://drive.google.com/file/d/1iInHBI7YryE88xC0_Ur__tiz-jkT7VdZ/view?usp=drivesdk" TargetMode="External"/><Relationship  Id="rId239" Type="http://schemas.openxmlformats.org/officeDocument/2006/relationships/hyperlink" Target="https://drive.google.com/file/d/1q-nERTmAJm3mVWQUnf1MijBM3PO3o8Ru/view?usp=drivesdk" TargetMode="External"/><Relationship  Id="rId24" Type="http://schemas.openxmlformats.org/officeDocument/2006/relationships/hyperlink" Target="https://drive.google.com/file/d/1cP-WoG9gTv7g0XwUw6desx-o2_auSfL9/view?usp=drivesdk" TargetMode="External"/><Relationship  Id="rId240" Type="http://schemas.openxmlformats.org/officeDocument/2006/relationships/hyperlink" Target="https://drive.google.com/file/d/1UzCqEs-WXPC0FOOEdyWwP06WnT4vI_sC/view?usp=drivesdk" TargetMode="External"/><Relationship  Id="rId241" Type="http://schemas.openxmlformats.org/officeDocument/2006/relationships/hyperlink" Target="https://drive.google.com/file/d/1_3ZBYMmTsRyqvcm7YAQ2t6T37Nr1_t-0/view?usp=drivesdk" TargetMode="External"/><Relationship  Id="rId242" Type="http://schemas.openxmlformats.org/officeDocument/2006/relationships/hyperlink" Target="https://drive.google.com/file/d/1JOrrO8qyp9nwxYLLdaxP7yQOMQHr2sn8/view?usp=drivesdk" TargetMode="External"/><Relationship  Id="rId243" Type="http://schemas.openxmlformats.org/officeDocument/2006/relationships/hyperlink" Target="https://drive.google.com/file/d/1WZ--KGTXcyCHIJbvInUgsJsXCLFL9yWn/view?usp=drivesdk" TargetMode="External"/><Relationship  Id="rId244" Type="http://schemas.openxmlformats.org/officeDocument/2006/relationships/hyperlink" Target="https://drive.google.com/file/d/1r7sZYnYoibjfibt8KVRZCbsQav8E1HNt/view?usp=drivesdk" TargetMode="External"/><Relationship  Id="rId245" Type="http://schemas.openxmlformats.org/officeDocument/2006/relationships/hyperlink" Target="https://drive.google.com/file/d/1fmjjHceRi07qeYn170bH7ReJeFhbIAvi/view?usp=drivesdk" TargetMode="External"/><Relationship  Id="rId246" Type="http://schemas.openxmlformats.org/officeDocument/2006/relationships/hyperlink" Target="https://drive.google.com/file/d/1i23VV8IEuP-aGaa0CQ24Yql1yZc8hReZ/view?usp=drivesdk" TargetMode="External"/><Relationship  Id="rId247" Type="http://schemas.openxmlformats.org/officeDocument/2006/relationships/hyperlink" Target="https://drive.google.com/file/d/1T-2OOAkrWCencZMfCmcmn1KNtSntRcY_/view?usp=drivesdk" TargetMode="External"/><Relationship  Id="rId248" Type="http://schemas.openxmlformats.org/officeDocument/2006/relationships/hyperlink" Target="https://drive.google.com/file/d/1R9u6J9TNdSRlMd3_9zv6M5Ywencp3E16/view?usp=drivesdk" TargetMode="External"/><Relationship  Id="rId249" Type="http://schemas.openxmlformats.org/officeDocument/2006/relationships/hyperlink" Target="https://drive.google.com/file/d/1CD87JT93ubWaHDXY8nWJZZyiOsnrELwn/view?usp=drivesdk" TargetMode="External"/><Relationship  Id="rId25" Type="http://schemas.openxmlformats.org/officeDocument/2006/relationships/hyperlink" Target="https://drive.google.com/file/d/13FWd3fpIoESTeaRbGABZG6wJGzzxcDGP/view?usp=drivesdk" TargetMode="External"/><Relationship  Id="rId250" Type="http://schemas.openxmlformats.org/officeDocument/2006/relationships/hyperlink" Target="https://drive.google.com/file/d/1olEkoBzHzOQye0vMbwk7fLhuRMh6M0Da/view?usp=drivesdk" TargetMode="External"/><Relationship  Id="rId251" Type="http://schemas.openxmlformats.org/officeDocument/2006/relationships/hyperlink" Target="https://drive.google.com/file/d/1AVHayipmqFsbmD-iXlGYa2Q3niHw2Zxq/view?usp=drivesdk" TargetMode="External"/><Relationship  Id="rId252" Type="http://schemas.openxmlformats.org/officeDocument/2006/relationships/hyperlink" Target="https://drive.google.com/file/d/13O8Rg-yukRkWxBHjmNMuk6v1Kc2_i3Sm/view?usp=drivesdk" TargetMode="External"/><Relationship  Id="rId253" Type="http://schemas.openxmlformats.org/officeDocument/2006/relationships/hyperlink" Target="https://drive.google.com/file/d/1q0cmv6vW345h1HsGYkfqBmU74CiGmble/view?usp=drivesdk" TargetMode="External"/><Relationship  Id="rId254" Type="http://schemas.openxmlformats.org/officeDocument/2006/relationships/hyperlink" Target="https://drive.google.com/file/d/1XyvvqNGoy0wjZ7Vu5Imz30T00CS5Z7sl/view?usp=drivesdk" TargetMode="External"/><Relationship  Id="rId255" Type="http://schemas.openxmlformats.org/officeDocument/2006/relationships/hyperlink" Target="https://drive.google.com/file/d/1PDxGUirp2TuKaTrjms-Pgq4d7VLrRpoN/view?usp=drivesdk" TargetMode="External"/><Relationship  Id="rId256" Type="http://schemas.openxmlformats.org/officeDocument/2006/relationships/hyperlink" Target="https://drive.google.com/file/d/1G9QKPmPdPcCthpPrgACkeyu4w5rwfvxz/view?usp=drivesdk" TargetMode="External"/><Relationship  Id="rId257" Type="http://schemas.openxmlformats.org/officeDocument/2006/relationships/hyperlink" Target="https://drive.google.com/file/d/1ZVkP0k6MJH1cCPg07_LvhU9COVhn0iEi/view?usp=drivesdk" TargetMode="External"/><Relationship  Id="rId258" Type="http://schemas.openxmlformats.org/officeDocument/2006/relationships/hyperlink" Target="https://drive.google.com/file/d/1AaG2wdRdwL1Aqc27HH7xX2Jfw0xLS2SQ/view?usp=drivesdk" TargetMode="External"/><Relationship  Id="rId259" Type="http://schemas.openxmlformats.org/officeDocument/2006/relationships/hyperlink" Target="https://drive.google.com/file/d/1DGV8yY0aZp_Hlz_WmyzPhSg9Qtx9fhGf/view?usp=drivesdk" TargetMode="External"/><Relationship  Id="rId26" Type="http://schemas.openxmlformats.org/officeDocument/2006/relationships/hyperlink" Target="https://drive.google.com/file/d/1T4luGPPPe1HDPSRIhMh9RbkL5_LKdlVF/view?usp=drivesdk" TargetMode="External"/><Relationship  Id="rId260" Type="http://schemas.openxmlformats.org/officeDocument/2006/relationships/hyperlink" Target="https://drive.google.com/file/d/1NmILP48QHT-qnQEt8NIRR-w7QtIx8cMh/view?usp=drivesdk" TargetMode="External"/><Relationship  Id="rId261" Type="http://schemas.openxmlformats.org/officeDocument/2006/relationships/hyperlink" Target="https://drive.google.com/file/d/1uQgquFkcA8JqS4fkGDjj3wlL-A31a5QO/view?usp=drivesdk" TargetMode="External"/><Relationship  Id="rId262" Type="http://schemas.openxmlformats.org/officeDocument/2006/relationships/hyperlink" Target="https://drive.google.com/file/d/1Y0ma84jXz4l3wx_KrDjmvKlvRo6RFzcW/view?usp=drivesdk" TargetMode="External"/><Relationship  Id="rId263" Type="http://schemas.openxmlformats.org/officeDocument/2006/relationships/hyperlink" Target="https://drive.google.com/file/d/18QrEyqdiYpFkvJl2A5W6_sEficnPl-1s/view?usp=drivesdk" TargetMode="External"/><Relationship  Id="rId264" Type="http://schemas.openxmlformats.org/officeDocument/2006/relationships/hyperlink" Target="https://drive.google.com/file/d/1bxqZEi6Syp9wQopr3hLaNydfbvzZvR_l/view?usp=drivesdk" TargetMode="External"/><Relationship  Id="rId265" Type="http://schemas.openxmlformats.org/officeDocument/2006/relationships/hyperlink" Target="https://drive.google.com/file/d/1pcZ84ESvWR91eVOuXVmYCLHFHB17OFZf/view?usp=drivesdk" TargetMode="External"/><Relationship  Id="rId266" Type="http://schemas.openxmlformats.org/officeDocument/2006/relationships/hyperlink" Target="https://drive.google.com/file/d/10xrdTQ5ZKqLI9vs1yj7X1iuQy-0rtW_Y/view?usp=drivesdk" TargetMode="External"/><Relationship  Id="rId267" Type="http://schemas.openxmlformats.org/officeDocument/2006/relationships/hyperlink" Target="https://drive.google.com/file/d/1b1IsPmaD0u5HGNOJDAyxX3QFimOMO_2B/view?usp=drivesdk" TargetMode="External"/><Relationship  Id="rId268" Type="http://schemas.openxmlformats.org/officeDocument/2006/relationships/hyperlink" Target="https://drive.google.com/file/d/1JIRTzGMT9AorQptG1EyOMihSLCNT8KV-/view?usp=drivesdk" TargetMode="External"/><Relationship  Id="rId269" Type="http://schemas.openxmlformats.org/officeDocument/2006/relationships/hyperlink" Target="https://drive.google.com/file/d/1XDMaegmSUtyPXioSG-I5UvONU_6FoBGt/view?usp=drivesdk" TargetMode="External"/><Relationship  Id="rId27" Type="http://schemas.openxmlformats.org/officeDocument/2006/relationships/hyperlink" Target="https://drive.google.com/file/d/1eX5_PXsQY6agSsLhq0fqqU0KeEw2blw2/view?usp=drivesdk" TargetMode="External"/><Relationship  Id="rId270" Type="http://schemas.openxmlformats.org/officeDocument/2006/relationships/hyperlink" Target="https://drive.google.com/file/d/1EElqmzN71SlQJz7LrqJrMxC1Pzwgo5AW/view?usp=drivesdk" TargetMode="External"/><Relationship  Id="rId271" Type="http://schemas.openxmlformats.org/officeDocument/2006/relationships/hyperlink" Target="https://drive.google.com/file/d/1S1qSd2xGA9aoTlten9wmsQkqd5fWaWSA/view?usp=drivesdk" TargetMode="External"/><Relationship  Id="rId272" Type="http://schemas.openxmlformats.org/officeDocument/2006/relationships/hyperlink" Target="https://drive.google.com/file/d/1CgVXVUfI6yhMN0CSLD8yjp0cVe0vI9s7/view?usp=drivesdk" TargetMode="External"/><Relationship  Id="rId273" Type="http://schemas.openxmlformats.org/officeDocument/2006/relationships/hyperlink" Target="https://drive.google.com/file/d/1aksrqnfFVuNBiIhU4dgPr1snq3zyHH5Q/view?usp=drivesdk" TargetMode="External"/><Relationship  Id="rId274" Type="http://schemas.openxmlformats.org/officeDocument/2006/relationships/hyperlink" Target="https://drive.google.com/file/d/1Fp0lFGYN0PMUATj_1E9mziAx5dqYzmpK/view?usp=drivesdk" TargetMode="External"/><Relationship  Id="rId275" Type="http://schemas.openxmlformats.org/officeDocument/2006/relationships/hyperlink" Target="https://drive.google.com/file/d/1EoibY38ZlxkFWIwiN1NANbVzoNEm11fl/view?usp=drivesdk" TargetMode="External"/><Relationship  Id="rId276" Type="http://schemas.openxmlformats.org/officeDocument/2006/relationships/hyperlink" Target="https://drive.google.com/file/d/1EORJNG1zLwCkP7ui7VBCUzojNfbmxqMj/view?usp=drivesdk" TargetMode="External"/><Relationship  Id="rId277" Type="http://schemas.openxmlformats.org/officeDocument/2006/relationships/hyperlink" Target="https://drive.google.com/file/d/1aCOHmrqdJc7IOl4BPHc43I758V_jZJFO/view?usp=drivesdk" TargetMode="External"/><Relationship  Id="rId278" Type="http://schemas.openxmlformats.org/officeDocument/2006/relationships/hyperlink" Target="https://drive.google.com/file/d/1LjyGGpS45Ll96FS3lrngkOIgpWxOk9Nu/view?usp=drivesdk" TargetMode="External"/><Relationship  Id="rId279" Type="http://schemas.openxmlformats.org/officeDocument/2006/relationships/hyperlink" Target="https://drive.google.com/file/d/1rJSugrsaaVkn2jLVojtByZNwnlpRmAUf/view?usp=drivesdk" TargetMode="External"/><Relationship  Id="rId28" Type="http://schemas.openxmlformats.org/officeDocument/2006/relationships/hyperlink" Target="https://drive.google.com/file/d/1gWiMpnq3pBaRjokxFAdpDi8AEjkknCbS/view?usp=drivesdk" TargetMode="External"/><Relationship  Id="rId280" Type="http://schemas.openxmlformats.org/officeDocument/2006/relationships/hyperlink" Target="https://drive.google.com/file/d/1MRq0lnKJkaCW0O3Y1bwOs_wR1DVUX7fM/view?usp=drivesdk" TargetMode="External"/><Relationship  Id="rId281" Type="http://schemas.openxmlformats.org/officeDocument/2006/relationships/hyperlink" Target="https://drive.google.com/file/d/1Isy2a1Ht-RPUQrvF4lyky6j_3Up1v6Fv/view?usp=drivesdk" TargetMode="External"/><Relationship  Id="rId282" Type="http://schemas.openxmlformats.org/officeDocument/2006/relationships/hyperlink" Target="https://drive.google.com/file/d/1wN5STiSy4V7V-7IMxN-LJQmLrm-lV_Sz/view?usp=drivesdk" TargetMode="External"/><Relationship  Id="rId283" Type="http://schemas.openxmlformats.org/officeDocument/2006/relationships/hyperlink" Target="https://drive.google.com/file/d/1NwHGrDGAPiXcXXisyBKqiMA5lvkfHEN3/view?usp=drivesdk" TargetMode="External"/><Relationship  Id="rId284" Type="http://schemas.openxmlformats.org/officeDocument/2006/relationships/hyperlink" Target="https://drive.google.com/file/d/1kQtKmzBWIvdEXACKQljM6nGachqKa2kx/view?usp=drivesdk" TargetMode="External"/><Relationship  Id="rId285" Type="http://schemas.openxmlformats.org/officeDocument/2006/relationships/hyperlink" Target="https://drive.google.com/file/d/1_9W9SiqGVxm4rgU1wmsWTzoBAW5etXoR/view?usp=drivesdk" TargetMode="External"/><Relationship  Id="rId286" Type="http://schemas.openxmlformats.org/officeDocument/2006/relationships/hyperlink" Target="https://drive.google.com/file/d/1qGau85FHt99I5DExJJZvleo_N0ao0A7e/view?usp=drivesdk" TargetMode="External"/><Relationship  Id="rId287" Type="http://schemas.openxmlformats.org/officeDocument/2006/relationships/hyperlink" Target="https://drive.google.com/file/d/1JRbpVoQw3IqZxi36_fWpIui1E9aYhjsc/view?usp=drivesdk" TargetMode="External"/><Relationship  Id="rId288" Type="http://schemas.openxmlformats.org/officeDocument/2006/relationships/hyperlink" Target="https://drive.google.com/file/d/1Pb7khZLVVSlFdInRv7YGA2Nfr0xNryZl/view?usp=drivesdk" TargetMode="External"/><Relationship  Id="rId289" Type="http://schemas.openxmlformats.org/officeDocument/2006/relationships/hyperlink" Target="https://drive.google.com/file/d/1HzCxyEWsKCd7ramJynD248tk6tWrOVmr/view?usp=drivesdk" TargetMode="External"/><Relationship  Id="rId29" Type="http://schemas.openxmlformats.org/officeDocument/2006/relationships/hyperlink" Target="https://drive.google.com/file/d/1P-K_a-6fZ7ESaRUwHJXzJyI2OTffGsQs/view?usp=drivesdk" TargetMode="External"/><Relationship  Id="rId290" Type="http://schemas.openxmlformats.org/officeDocument/2006/relationships/hyperlink" Target="https://drive.google.com/file/d/1O8XKK1qN0PbKuuQ0G0naRi_vTlFMtZIo/view?usp=drivesdk" TargetMode="External"/><Relationship  Id="rId291" Type="http://schemas.openxmlformats.org/officeDocument/2006/relationships/hyperlink" Target="https://drive.google.com/file/d/1exs5Gw56dD3ZYG4nKzlDLmwo6bx99_2P/view?usp=drivesdk" TargetMode="External"/><Relationship  Id="rId292" Type="http://schemas.openxmlformats.org/officeDocument/2006/relationships/hyperlink" Target="https://drive.google.com/file/d/15ydKaggOziqJSRtRuwMCNpFb7CjmXEz2/view?usp=drivesdk" TargetMode="External"/><Relationship  Id="rId293" Type="http://schemas.openxmlformats.org/officeDocument/2006/relationships/hyperlink" Target="https://drive.google.com/file/d/1tXOqKrrpfYQkE2vnihxmXUin5zwV4ZRe/view?usp=drivesdk" TargetMode="External"/><Relationship  Id="rId294" Type="http://schemas.openxmlformats.org/officeDocument/2006/relationships/hyperlink" Target="https://drive.google.com/file/d/1WQ7aPqNpZxUvlsBzAc6tGSH5-oIp5EOR/view?usp=drivesdk" TargetMode="External"/><Relationship  Id="rId295" Type="http://schemas.openxmlformats.org/officeDocument/2006/relationships/hyperlink" Target="https://drive.google.com/file/d/1hJpOqAny4QTee-bB40ZpqFL7zQIaDYkZ/view?usp=drivesdk" TargetMode="External"/><Relationship  Id="rId296" Type="http://schemas.openxmlformats.org/officeDocument/2006/relationships/hyperlink" Target="https://drive.google.com/file/d/1-r0xAgxpkesUtZ-eQwFt6Pe4qBKxrj37/view?usp=drivesdk" TargetMode="External"/><Relationship  Id="rId297" Type="http://schemas.openxmlformats.org/officeDocument/2006/relationships/hyperlink" Target="https://drive.google.com/file/d/1nlV9G8pbWgWUxeI1EFWFLGToU3vfDuFG/view?usp=drivesdk" TargetMode="External"/><Relationship  Id="rId298" Type="http://schemas.openxmlformats.org/officeDocument/2006/relationships/hyperlink" Target="https://drive.google.com/file/d/1mwvAzy2-7E4NT_ufSXNlvVipXxz2ASPp/view?usp=drivesdk" TargetMode="External"/><Relationship  Id="rId299" Type="http://schemas.openxmlformats.org/officeDocument/2006/relationships/hyperlink" Target="https://drive.google.com/file/d/1DiOKhr2vIEcGfoCJ4Q51M5LXZWH4nBc3/view?usp=drivesdk" TargetMode="External"/><Relationship  Id="rId3" Type="http://schemas.openxmlformats.org/officeDocument/2006/relationships/hyperlink" Target="https://drive.google.com/file/d/14ugOgjSZfG1bTo9T-aWR3RHMKQLe82WU/view?usp=drivesdk" TargetMode="External"/><Relationship  Id="rId30" Type="http://schemas.openxmlformats.org/officeDocument/2006/relationships/hyperlink" Target="https://drive.google.com/file/d/1HAkDfBT0WdddZiWZLQenP3KTueA28fr6/view?usp=drivesdk" TargetMode="External"/><Relationship  Id="rId300" Type="http://schemas.openxmlformats.org/officeDocument/2006/relationships/hyperlink" Target="https://drive.google.com/file/d/1Lxo_b2tvn3ODdm1WKXcXwwO8sl0sKIHR/view?usp=drivesdk" TargetMode="External"/><Relationship  Id="rId301" Type="http://schemas.openxmlformats.org/officeDocument/2006/relationships/hyperlink" Target="https://drive.google.com/file/d/1ccxFZ798eMwJl2qvAOKMxsQckubWuY7W/view?usp=drivesdk" TargetMode="External"/><Relationship  Id="rId302" Type="http://schemas.openxmlformats.org/officeDocument/2006/relationships/hyperlink" Target="https://drive.google.com/file/d/1FBDHAY4MZ-cAFLVZVoURF8KniaydZZ7O/view?usp=drivesdk" TargetMode="External"/><Relationship  Id="rId303" Type="http://schemas.openxmlformats.org/officeDocument/2006/relationships/hyperlink" Target="https://drive.google.com/file/d/1Q_zTDRVFzmetgOzF8Vy1RKsvqUOYwvGz/view?usp=drivesdk" TargetMode="External"/><Relationship  Id="rId304" Type="http://schemas.openxmlformats.org/officeDocument/2006/relationships/hyperlink" Target="https://drive.google.com/file/d/1nE_faW8M4LaIZOtZQn4d4GhxazTVwFFU/view?usp=drivesdk" TargetMode="External"/><Relationship  Id="rId305" Type="http://schemas.openxmlformats.org/officeDocument/2006/relationships/hyperlink" Target="https://drive.google.com/file/d/1bVp49vdNo6-XUUxBaNUND5-jwmB_evWY/view?usp=drivesdk" TargetMode="External"/><Relationship  Id="rId306" Type="http://schemas.openxmlformats.org/officeDocument/2006/relationships/hyperlink" Target="https://drive.google.com/file/d/1bNtLrRJ8FozYMAhLAzTWrrqkBkIXx3c-/view?usp=drivesdk" TargetMode="External"/><Relationship  Id="rId307" Type="http://schemas.openxmlformats.org/officeDocument/2006/relationships/hyperlink" Target="https://drive.google.com/file/d/1B7a6-u6aQPgKA5zkfkjt8Rl5uoKh7tVD/view?usp=drivesdk" TargetMode="External"/><Relationship  Id="rId308" Type="http://schemas.openxmlformats.org/officeDocument/2006/relationships/hyperlink" Target="https://drive.google.com/file/d/199wJVhAZuirj5p2wEBdtP1Et7xn7Zqg1/view?usp=drivesdk" TargetMode="External"/><Relationship  Id="rId309" Type="http://schemas.openxmlformats.org/officeDocument/2006/relationships/hyperlink" Target="https://drive.google.com/file/d/1S2h7dPnr0_2tr8Pxcu4Ov1-akgWVmzxn/view?usp=drivesdk" TargetMode="External"/><Relationship  Id="rId31" Type="http://schemas.openxmlformats.org/officeDocument/2006/relationships/hyperlink" Target="https://drive.google.com/file/d/1baDvqcylK_RPmyZtoIv98miegzH2TASq/view?usp=drivesdk" TargetMode="External"/><Relationship  Id="rId310" Type="http://schemas.openxmlformats.org/officeDocument/2006/relationships/hyperlink" Target="https://drive.google.com/file/d/1ymj60zENmZTc_-U2ygHmopCNovTOdnwC/view?usp=drivesdk" TargetMode="External"/><Relationship  Id="rId311" Type="http://schemas.openxmlformats.org/officeDocument/2006/relationships/hyperlink" Target="https://drive.google.com/file/d/1ItfCzrUK5oTBHmkovkknMY5cDukGVf80/view?usp=drivesdk" TargetMode="External"/><Relationship  Id="rId312" Type="http://schemas.openxmlformats.org/officeDocument/2006/relationships/hyperlink" Target="https://drive.google.com/file/d/1a60rQQ9HrMFGParIFjfritrTH3pkqbx1/view?usp=drivesdk" TargetMode="External"/><Relationship  Id="rId313" Type="http://schemas.openxmlformats.org/officeDocument/2006/relationships/hyperlink" Target="https://drive.google.com/file/d/1uVIjjXsUIVLkcihXsPpwo3U_krzWqFLg/view?usp=drivesdk" TargetMode="External"/><Relationship  Id="rId314" Type="http://schemas.openxmlformats.org/officeDocument/2006/relationships/hyperlink" Target="https://drive.google.com/file/d/1utOhtuIVu-7_CIGdz6tVLsBdh3R0fQyH/view?usp=drivesdk" TargetMode="External"/><Relationship  Id="rId315" Type="http://schemas.openxmlformats.org/officeDocument/2006/relationships/hyperlink" Target="https://drive.google.com/file/d/1gwvtSj2vUyOCD-2mnp6lVV0D_yPLUQfk/view?usp=drivesdk" TargetMode="External"/><Relationship  Id="rId316" Type="http://schemas.openxmlformats.org/officeDocument/2006/relationships/hyperlink" Target="https://drive.google.com/file/d/1zb3c3sEAXOLDmX_DUMD7h0CKAUg1mMVG/view?usp=drivesdk" TargetMode="External"/><Relationship  Id="rId317" Type="http://schemas.openxmlformats.org/officeDocument/2006/relationships/hyperlink" Target="https://drive.google.com/file/d/1tCUdNp24FvAt7WJUmZikYW9RHD5qH14_/view?usp=drivesdk" TargetMode="External"/><Relationship  Id="rId318" Type="http://schemas.openxmlformats.org/officeDocument/2006/relationships/hyperlink" Target="https://drive.google.com/file/d/104ZDH9fyYw66sAQPoWK5X727Sh6A6K27/view?usp=drivesdk" TargetMode="External"/><Relationship  Id="rId319" Type="http://schemas.openxmlformats.org/officeDocument/2006/relationships/hyperlink" Target="https://drive.google.com/file/d/1Akzw959WcyR6QsEK3mJUrZeSh97N6lqe/view?usp=drivesdk" TargetMode="External"/><Relationship  Id="rId32" Type="http://schemas.openxmlformats.org/officeDocument/2006/relationships/hyperlink" Target="https://drive.google.com/file/d/1R16fSOL6ojUaOpbDeD170peuOr0IBb3N/view?usp=drivesdk" TargetMode="External"/><Relationship  Id="rId320" Type="http://schemas.openxmlformats.org/officeDocument/2006/relationships/hyperlink" Target="https://drive.google.com/file/d/1h1CcEBo8iapoPrg-UQKj593WCpgtHDqp/view?usp=drivesdk" TargetMode="External"/><Relationship  Id="rId321" Type="http://schemas.openxmlformats.org/officeDocument/2006/relationships/hyperlink" Target="https://drive.google.com/file/d/1XYz8uvQfXr3e2K5B095gi8UNmjVTCld0/view?usp=drivesdk" TargetMode="External"/><Relationship  Id="rId322" Type="http://schemas.openxmlformats.org/officeDocument/2006/relationships/hyperlink" Target="https://drive.google.com/file/d/1i3ZKV-U3b1OuCj93kA5vSMG_mUTWEDC3/view?usp=drivesdk" TargetMode="External"/><Relationship  Id="rId323" Type="http://schemas.openxmlformats.org/officeDocument/2006/relationships/hyperlink" Target="https://drive.google.com/file/d/1ott_ZOqnxyV-8rkdjTKQhn2fGH6bgE63/view?usp=drivesdk" TargetMode="External"/><Relationship  Id="rId324" Type="http://schemas.openxmlformats.org/officeDocument/2006/relationships/hyperlink" Target="https://drive.google.com/file/d/1xiXhrubmEwEGugkqPPzERQ3PETlQjs5E/view?usp=drivesdk" TargetMode="External"/><Relationship  Id="rId325" Type="http://schemas.openxmlformats.org/officeDocument/2006/relationships/hyperlink" Target="https://drive.google.com/file/d/1tOQvj9MTe26sJmw-n-S1Cd_zUjC0FOYi/view?usp=drivesdk" TargetMode="External"/><Relationship  Id="rId326" Type="http://schemas.openxmlformats.org/officeDocument/2006/relationships/hyperlink" Target="https://drive.google.com/file/d/1ODoUxM1FYQId4HpN310razikVEDTrX_X/view?usp=drivesdk" TargetMode="External"/><Relationship  Id="rId327" Type="http://schemas.openxmlformats.org/officeDocument/2006/relationships/hyperlink" Target="https://drive.google.com/file/d/1SiA81GmHA4jFhpNdwgS597FywGRV1OQl/view?usp=drivesdk" TargetMode="External"/><Relationship  Id="rId328" Type="http://schemas.openxmlformats.org/officeDocument/2006/relationships/hyperlink" Target="https://drive.google.com/file/d/1_DFXbNnym62cr4k-jAy_kksM5r_smoUF/view?usp=drivesdk" TargetMode="External"/><Relationship  Id="rId329" Type="http://schemas.openxmlformats.org/officeDocument/2006/relationships/hyperlink" Target="https://drive.google.com/file/d/1m56F-GPeO5Pk9qHDhq59qtDhwNE_lhea/view?usp=drivesdk" TargetMode="External"/><Relationship  Id="rId33" Type="http://schemas.openxmlformats.org/officeDocument/2006/relationships/hyperlink" Target="https://drive.google.com/file/d/1Jntrmes_6k6PqPSBN2yLp10lMNVhi_At/view?usp=drivesdk" TargetMode="External"/><Relationship  Id="rId330" Type="http://schemas.openxmlformats.org/officeDocument/2006/relationships/hyperlink" Target="https://drive.google.com/file/d/1lQQWy6e1TI2uinJkCDMxLJshDXNB43P6/view?usp=drivesdk" TargetMode="External"/><Relationship  Id="rId331" Type="http://schemas.openxmlformats.org/officeDocument/2006/relationships/hyperlink" Target="https://drive.google.com/file/d/1E4fmVDYR-_a0mzJsPS-4HS8Do9R7Hqo7/view?usp=drivesdk" TargetMode="External"/><Relationship  Id="rId332" Type="http://schemas.openxmlformats.org/officeDocument/2006/relationships/hyperlink" Target="https://drive.google.com/file/d/18dphAqMu_vjeKH62j2rIJi27VoVITkcb/view?usp=drivesdk" TargetMode="External"/><Relationship  Id="rId333" Type="http://schemas.openxmlformats.org/officeDocument/2006/relationships/hyperlink" Target="https://drive.google.com/file/d/1oa47-JZHYM_yh51ahhexU4TG9k-uzMA_/view?usp=drivesdk" TargetMode="External"/><Relationship  Id="rId334" Type="http://schemas.openxmlformats.org/officeDocument/2006/relationships/hyperlink" Target="https://drive.google.com/file/d/17ppfeT9X6WaokByxYGiknL3ae8ROT4wf/view?usp=drivesdk" TargetMode="External"/><Relationship  Id="rId335" Type="http://schemas.openxmlformats.org/officeDocument/2006/relationships/hyperlink" Target="https://drive.google.com/file/d/1lwmryE7UbEPWtUBEcOS0t-3zH2ZQj7Sh/view?usp=drivesdk" TargetMode="External"/><Relationship  Id="rId336" Type="http://schemas.openxmlformats.org/officeDocument/2006/relationships/hyperlink" Target="https://drive.google.com/file/d/1OQhjcYgnFPkYBckHu83-VYf8XqdSnkoM/view?usp=drivesdk" TargetMode="External"/><Relationship  Id="rId337" Type="http://schemas.openxmlformats.org/officeDocument/2006/relationships/hyperlink" Target="https://drive.google.com/file/d/1T47_dCf8SixyCqPSnrLbNHrFHPH0EBYQ/view?usp=drivesdk" TargetMode="External"/><Relationship  Id="rId338" Type="http://schemas.openxmlformats.org/officeDocument/2006/relationships/hyperlink" Target="https://drive.google.com/file/d/1M_e9j-WCYCGhjxBHkulGR-5z4Bec083m/view?usp=drivesdk" TargetMode="External"/><Relationship  Id="rId339" Type="http://schemas.openxmlformats.org/officeDocument/2006/relationships/hyperlink" Target="https://drive.google.com/file/d/1lUzxYxe-9lKupjVJV6tjGIRUQLoqwYWe/view?usp=drivesdk" TargetMode="External"/><Relationship  Id="rId34" Type="http://schemas.openxmlformats.org/officeDocument/2006/relationships/hyperlink" Target="https://drive.google.com/file/d/1CgTm4vN_iiHiuf9z4M5xLxrwh5L5a-Tm/view?usp=drivesdk" TargetMode="External"/><Relationship  Id="rId35" Type="http://schemas.openxmlformats.org/officeDocument/2006/relationships/hyperlink" Target="https://drive.google.com/file/d/14xjUOjNFCZphi9t6CiwN5RUSI_hQ_JhD/view?usp=drivesdk" TargetMode="External"/><Relationship  Id="rId36" Type="http://schemas.openxmlformats.org/officeDocument/2006/relationships/hyperlink" Target="https://drive.google.com/file/d/1pG3JPAsHJIMFVf592r2h5jvvqBwb42WG/view?usp=drivesdk" TargetMode="External"/><Relationship  Id="rId37" Type="http://schemas.openxmlformats.org/officeDocument/2006/relationships/hyperlink" Target="https://drive.google.com/file/d/1Le0NYFSPp8dOuLnpDkTrIekaU41fHQVN/view?usp=drivesdk" TargetMode="External"/><Relationship  Id="rId38" Type="http://schemas.openxmlformats.org/officeDocument/2006/relationships/hyperlink" Target="https://drive.google.com/file/d/1UGZaxVmJd_XB3ntsKnL-POnLp8c3eh3E/view?usp=drivesdk" TargetMode="External"/><Relationship  Id="rId39" Type="http://schemas.openxmlformats.org/officeDocument/2006/relationships/hyperlink" Target="https://drive.google.com/file/d/1ePggrgAkAmjpULgXD8bKbQFmPoqfCzug/view?usp=drivesdk" TargetMode="External"/><Relationship  Id="rId4" Type="http://schemas.openxmlformats.org/officeDocument/2006/relationships/hyperlink" Target="https://drive.google.com/file/d/1kqEfLQ6rl51-5USLK5M3MAmg2mzQtGg7/view?usp=drivesdk" TargetMode="External"/><Relationship  Id="rId40" Type="http://schemas.openxmlformats.org/officeDocument/2006/relationships/hyperlink" Target="https://drive.google.com/file/d/18yADQQSA0MTxjBO4xzkb3GHDIc3aY2Tc/view?usp=drivesdk" TargetMode="External"/><Relationship  Id="rId41" Type="http://schemas.openxmlformats.org/officeDocument/2006/relationships/hyperlink" Target="https://drive.google.com/file/d/1zTrS1gvSa8i85Bl_0XlVfwrmcUpN29Cx/view?usp=drivesdk" TargetMode="External"/><Relationship  Id="rId42" Type="http://schemas.openxmlformats.org/officeDocument/2006/relationships/hyperlink" Target="https://drive.google.com/file/d/1Ve6OfxmDxoBUaRJWkuJNkCJCDECjvtXE/view?usp=drivesdk" TargetMode="External"/><Relationship  Id="rId43" Type="http://schemas.openxmlformats.org/officeDocument/2006/relationships/hyperlink" Target="https://drive.google.com/file/d/1LN1-oYBc53fssG6j2Pdv2DdoSnUv_pLY/view?usp=drivesdk" TargetMode="External"/><Relationship  Id="rId44" Type="http://schemas.openxmlformats.org/officeDocument/2006/relationships/hyperlink" Target="https://drive.google.com/file/d/134ay4Qe7VLnDjxPm0pYS81bHKoePlN4c/view?usp=drivesdk" TargetMode="External"/><Relationship  Id="rId45" Type="http://schemas.openxmlformats.org/officeDocument/2006/relationships/hyperlink" Target="https://drive.google.com/file/d/1yzyE7qxLV3bvQz8z4npLKRU38WwAa1xK/view?usp=drivesdk" TargetMode="External"/><Relationship  Id="rId46" Type="http://schemas.openxmlformats.org/officeDocument/2006/relationships/hyperlink" Target="https://drive.google.com/file/d/1960LS-JW3WPc0Vqh7uA5afmBoD37CAfR/view?usp=drivesdk" TargetMode="External"/><Relationship  Id="rId47" Type="http://schemas.openxmlformats.org/officeDocument/2006/relationships/hyperlink" Target="https://drive.google.com/file/d/10ijkKGr2Bf9O72fmph3SkT7Pee4UNcCw/view?usp=drivesdk" TargetMode="External"/><Relationship  Id="rId48" Type="http://schemas.openxmlformats.org/officeDocument/2006/relationships/hyperlink" Target="https://drive.google.com/file/d/1Ht-I2zwSe3Eu01lI4J1rKngj7xpHbd4H/view?usp=drivesdk" TargetMode="External"/><Relationship  Id="rId49" Type="http://schemas.openxmlformats.org/officeDocument/2006/relationships/hyperlink" Target="https://drive.google.com/file/d/1aFSIfrtg-z6xdkiqoX1l1DH-v0hmpsRm/view?usp=drivesdk" TargetMode="External"/><Relationship  Id="rId5" Type="http://schemas.openxmlformats.org/officeDocument/2006/relationships/hyperlink" Target="https://drive.google.com/file/d/1GTI5GKF8vVK1bKkWrnJe_qg5ggQBNe3U/view?usp=drivesdk" TargetMode="External"/><Relationship  Id="rId50" Type="http://schemas.openxmlformats.org/officeDocument/2006/relationships/hyperlink" Target="https://drive.google.com/file/d/1FeFgatpvovkkdMfkA-DNuMtWXIMOp5wx/view?usp=drivesdk" TargetMode="External"/><Relationship  Id="rId51" Type="http://schemas.openxmlformats.org/officeDocument/2006/relationships/hyperlink" Target="https://drive.google.com/file/d/1zzyBJz_wgsLx9Dq7QuNmdSg_WFUElPFW/view?usp=drivesdk" TargetMode="External"/><Relationship  Id="rId52" Type="http://schemas.openxmlformats.org/officeDocument/2006/relationships/hyperlink" Target="https://drive.google.com/file/d/1pwQ_6VYDLFhgHIF7IV77ZSwFPmvUjysV/view?usp=drivesdk" TargetMode="External"/><Relationship  Id="rId53" Type="http://schemas.openxmlformats.org/officeDocument/2006/relationships/hyperlink" Target="https://drive.google.com/file/d/1FaYRAegO1XybUQbMQQKvCUF6i3FfjcLB/view?usp=drivesdk" TargetMode="External"/><Relationship  Id="rId54" Type="http://schemas.openxmlformats.org/officeDocument/2006/relationships/hyperlink" Target="https://drive.google.com/file/d/1-Dz3Jbqtc1Bq164j1WmraehTEZB0_cw0/view?usp=drivesdk" TargetMode="External"/><Relationship  Id="rId55" Type="http://schemas.openxmlformats.org/officeDocument/2006/relationships/hyperlink" Target="https://drive.google.com/file/d/1x_dSj-a7JABsxkAb1HtYHtZDkt6L3D7A/view?usp=drivesdk" TargetMode="External"/><Relationship  Id="rId56" Type="http://schemas.openxmlformats.org/officeDocument/2006/relationships/hyperlink" Target="https://drive.google.com/file/d/1pvT1U091GHU_ntfdxo2YfpsMxK776aZq/view?usp=drivesdk" TargetMode="External"/><Relationship  Id="rId57" Type="http://schemas.openxmlformats.org/officeDocument/2006/relationships/hyperlink" Target="https://drive.google.com/file/d/1kfBx9Ldte_ASPPrrv42s7UA1c5kW1xsJ/view?usp=drivesdk" TargetMode="External"/><Relationship  Id="rId58" Type="http://schemas.openxmlformats.org/officeDocument/2006/relationships/hyperlink" Target="https://drive.google.com/file/d/1oKOeID3ZYoMVZGgvOi6wHc12vSCPmNl7/view?usp=drivesdk" TargetMode="External"/><Relationship  Id="rId59" Type="http://schemas.openxmlformats.org/officeDocument/2006/relationships/hyperlink" Target="https://drive.google.com/file/d/11KOY_rXL6gJbvVrOd4NTNDAiFBBHv26t/view?usp=drivesdk" TargetMode="External"/><Relationship  Id="rId6" Type="http://schemas.openxmlformats.org/officeDocument/2006/relationships/hyperlink" Target="https://drive.google.com/file/d/15NW8Vodm6kXrtZKVBMt3OkA9jkXzsmEz/view?usp=drivesdk" TargetMode="External"/><Relationship  Id="rId60" Type="http://schemas.openxmlformats.org/officeDocument/2006/relationships/hyperlink" Target="https://drive.google.com/file/d/1ZyF-ej9wWMQjBWfY900uHIbeIX9DsBpS/view?usp=drivesdk" TargetMode="External"/><Relationship  Id="rId61" Type="http://schemas.openxmlformats.org/officeDocument/2006/relationships/hyperlink" Target="https://drive.google.com/file/d/1pivobEhhoi_nDfWgz14g-tMF7xHEYA0Y/view?usp=drivesdk" TargetMode="External"/><Relationship  Id="rId62" Type="http://schemas.openxmlformats.org/officeDocument/2006/relationships/hyperlink" Target="https://drive.google.com/file/d/1iZNuaH0yb3Pgi4MeHzRV9kD7MMKpWQEW/view?usp=drivesdk" TargetMode="External"/><Relationship  Id="rId63" Type="http://schemas.openxmlformats.org/officeDocument/2006/relationships/hyperlink" Target="https://drive.google.com/file/d/1kECdeAzTMsu8izBfdwJ3Im2u-WHLBHEI/view?usp=drivesdk" TargetMode="External"/><Relationship  Id="rId64" Type="http://schemas.openxmlformats.org/officeDocument/2006/relationships/hyperlink" Target="https://drive.google.com/file/d/1tKb_ZHRbblcRNdQvHgAvJo2A1iO6tz-d/view?usp=drivesdk" TargetMode="External"/><Relationship  Id="rId65" Type="http://schemas.openxmlformats.org/officeDocument/2006/relationships/hyperlink" Target="https://drive.google.com/file/d/1d6or0qvRhfI6gH_j581DLTO7u6jjFebB/view?usp=drivesdk" TargetMode="External"/><Relationship  Id="rId66" Type="http://schemas.openxmlformats.org/officeDocument/2006/relationships/hyperlink" Target="https://drive.google.com/file/d/1B7D9QqbxjY-vsc5n_zWti8Hc8czXVEQ5/view?usp=drivesdk" TargetMode="External"/><Relationship  Id="rId67" Type="http://schemas.openxmlformats.org/officeDocument/2006/relationships/hyperlink" Target="https://drive.google.com/file/d/1AGZJrrc6m1vkdYhCLTgM0YslqumCRLkw/view?usp=drivesdk" TargetMode="External"/><Relationship  Id="rId68" Type="http://schemas.openxmlformats.org/officeDocument/2006/relationships/hyperlink" Target="https://drive.google.com/file/d/1HZSGJWRVVRCzbc90Tp9nSUgWyIdjLOZ3/view?usp=drivesdk" TargetMode="External"/><Relationship  Id="rId69" Type="http://schemas.openxmlformats.org/officeDocument/2006/relationships/hyperlink" Target="https://drive.google.com/file/d/1BPnfFSInEdrfPaVA8EHVibhTeBPM_I9b/view?usp=drivesdk" TargetMode="External"/><Relationship  Id="rId7" Type="http://schemas.openxmlformats.org/officeDocument/2006/relationships/hyperlink" Target="https://drive.google.com/file/d/1DlkhZC6zx4X1ePRf8Y8uhMcxD0qR-4Bi/view?usp=drivesdk" TargetMode="External"/><Relationship  Id="rId70" Type="http://schemas.openxmlformats.org/officeDocument/2006/relationships/hyperlink" Target="https://drive.google.com/file/d/1Ur0HrN52g2QXsaUtfaTCUqkniv8bsVoA/view?usp=drivesdk" TargetMode="External"/><Relationship  Id="rId71" Type="http://schemas.openxmlformats.org/officeDocument/2006/relationships/hyperlink" Target="https://drive.google.com/file/d/1Z_tjxZxHb3ixmLGCKtUzDryB9T0GLGRJ/view?usp=drivesdk" TargetMode="External"/><Relationship  Id="rId72" Type="http://schemas.openxmlformats.org/officeDocument/2006/relationships/hyperlink" Target="https://drive.google.com/file/d/1NjFoYHr8MhpwqVHIfwMvmBm_-VFAXR8H/view?usp=drivesdk" TargetMode="External"/><Relationship  Id="rId73" Type="http://schemas.openxmlformats.org/officeDocument/2006/relationships/hyperlink" Target="https://drive.google.com/file/d/1Ofm2T21gR52Lk3JW2X60gnuQvlqDaUlS/view?usp=drivesdk" TargetMode="External"/><Relationship  Id="rId74" Type="http://schemas.openxmlformats.org/officeDocument/2006/relationships/hyperlink" Target="https://drive.google.com/file/d/1yVWEdwYKHFWXlq9fo8HMIr1iVNDeZAVq/view?usp=drivesdk" TargetMode="External"/><Relationship  Id="rId75" Type="http://schemas.openxmlformats.org/officeDocument/2006/relationships/hyperlink" Target="https://drive.google.com/file/d/1zsJOyb2Rhm7Bn5fAAgXKIGbr1r8sPhPy/view?usp=drivesdk" TargetMode="External"/><Relationship  Id="rId76" Type="http://schemas.openxmlformats.org/officeDocument/2006/relationships/hyperlink" Target="https://drive.google.com/file/d/1Mn4c3wRr-HSmwgfSKwFXqWy0FcFcToIU/view?usp=drivesdk" TargetMode="External"/><Relationship  Id="rId77" Type="http://schemas.openxmlformats.org/officeDocument/2006/relationships/hyperlink" Target="https://drive.google.com/file/d/1_6WJC_DoSx8--JhZJAXYsWIz93n8XyNG/view?usp=drivesdk" TargetMode="External"/><Relationship  Id="rId78" Type="http://schemas.openxmlformats.org/officeDocument/2006/relationships/hyperlink" Target="https://drive.google.com/file/d/1fSYC7owYtxSQE-xFd3C8rirCTb4T9PvZ/view?usp=drivesdk" TargetMode="External"/><Relationship  Id="rId79" Type="http://schemas.openxmlformats.org/officeDocument/2006/relationships/hyperlink" Target="https://drive.google.com/file/d/19C90fz0HciC1zXLXJL2aMLbMyew0emr0/view?usp=drivesdk" TargetMode="External"/><Relationship  Id="rId8" Type="http://schemas.openxmlformats.org/officeDocument/2006/relationships/hyperlink" Target="https://drive.google.com/file/d/1x1krMYK8FGAgL9BfX1-YAS-GXx8Rd9od/view?usp=drivesdk" TargetMode="External"/><Relationship  Id="rId80" Type="http://schemas.openxmlformats.org/officeDocument/2006/relationships/hyperlink" Target="https://drive.google.com/file/d/1eDqEm6JxLOK1m569fDZvOJS4s_TbzhZi/view?usp=drivesdk" TargetMode="External"/><Relationship  Id="rId81" Type="http://schemas.openxmlformats.org/officeDocument/2006/relationships/hyperlink" Target="https://drive.google.com/file/d/1y5D7znTorGoHhS3q7FGd4zaoB_XrncXE/view?usp=drivesdk" TargetMode="External"/><Relationship  Id="rId82" Type="http://schemas.openxmlformats.org/officeDocument/2006/relationships/hyperlink" Target="https://drive.google.com/file/d/1vu-7wCHTpQgizhBeq4hTLv5BOZH7Uhom/view?usp=drivesdk" TargetMode="External"/><Relationship  Id="rId83" Type="http://schemas.openxmlformats.org/officeDocument/2006/relationships/hyperlink" Target="https://drive.google.com/file/d/15P97fWMDjJArwqvONZ84QoIPjoovl3Kp/view?usp=drivesdk" TargetMode="External"/><Relationship  Id="rId84" Type="http://schemas.openxmlformats.org/officeDocument/2006/relationships/hyperlink" Target="https://drive.google.com/file/d/1EVgIH1QJS58z0DrTedMA9TxOTY4n9Q8X/view?usp=drivesdk" TargetMode="External"/><Relationship  Id="rId85" Type="http://schemas.openxmlformats.org/officeDocument/2006/relationships/hyperlink" Target="https://drive.google.com/file/d/1mZOZt7WvduwNe9NNP1BfOw0tr2QcOVNB/view?usp=drivesdk" TargetMode="External"/><Relationship  Id="rId86" Type="http://schemas.openxmlformats.org/officeDocument/2006/relationships/hyperlink" Target="https://drive.google.com/file/d/1y_feiTCO1rvkw31NR8RslLPVRYotdwrl/view?usp=drivesdk" TargetMode="External"/><Relationship  Id="rId87" Type="http://schemas.openxmlformats.org/officeDocument/2006/relationships/hyperlink" Target="https://drive.google.com/file/d/1IhFNyjXkfw03tpdIpcTUzq-RGZposD54/view?usp=drivesdk" TargetMode="External"/><Relationship  Id="rId88" Type="http://schemas.openxmlformats.org/officeDocument/2006/relationships/hyperlink" Target="https://drive.google.com/file/d/109OjqjOttCrXLgBFmucLSKR545eEgcax/view?usp=drivesdk" TargetMode="External"/><Relationship  Id="rId89" Type="http://schemas.openxmlformats.org/officeDocument/2006/relationships/hyperlink" Target="https://drive.google.com/file/d/1AA8TAIcrnwIb2okmPmJo_nPmSiySmvRD/view?usp=drivesdk" TargetMode="External"/><Relationship  Id="rId9" Type="http://schemas.openxmlformats.org/officeDocument/2006/relationships/hyperlink" Target="https://drive.google.com/file/d/1YkZnJ4ro9JhZ5rUfvkQkMML_CVT19In0/view?usp=drivesdk" TargetMode="External"/><Relationship  Id="rId90" Type="http://schemas.openxmlformats.org/officeDocument/2006/relationships/hyperlink" Target="https://drive.google.com/file/d/1NjKja8KP0FdKCtCgrOOppy1Q8ifdFa1E/view?usp=drivesdk" TargetMode="External"/><Relationship  Id="rId91" Type="http://schemas.openxmlformats.org/officeDocument/2006/relationships/hyperlink" Target="https://drive.google.com/file/d/1gE4fjSTptpy-WXhy1Iu_cV7cD2vMRX5Z/view?usp=drivesdk" TargetMode="External"/><Relationship  Id="rId92" Type="http://schemas.openxmlformats.org/officeDocument/2006/relationships/hyperlink" Target="https://drive.google.com/file/d/128BVo8O1eG_TkiXKCDGU1wgMwAWvvGDe/view?usp=drivesdk" TargetMode="External"/><Relationship  Id="rId93" Type="http://schemas.openxmlformats.org/officeDocument/2006/relationships/hyperlink" Target="https://drive.google.com/file/d/1Ge1SXHu1MrVtrpjnl46NofrhRtW3ddSX/view?usp=drivesdk" TargetMode="External"/><Relationship  Id="rId94" Type="http://schemas.openxmlformats.org/officeDocument/2006/relationships/hyperlink" Target="https://drive.google.com/file/d/1NzsmXh0YfiD1TPkj1clzfHHeGMfljfBP/view?usp=drivesdk" TargetMode="External"/><Relationship  Id="rId95" Type="http://schemas.openxmlformats.org/officeDocument/2006/relationships/hyperlink" Target="https://drive.google.com/file/d/105-QhKB7SxVwH-i8aI5tkY90mCCnIbgd/view?usp=drivesdk" TargetMode="External"/><Relationship  Id="rId96" Type="http://schemas.openxmlformats.org/officeDocument/2006/relationships/hyperlink" Target="https://drive.google.com/file/d/1Ci6gX4DhTeaN3lv6rFflMw_wYSnTiY81/view?usp=drivesdk" TargetMode="External"/><Relationship  Id="rId97" Type="http://schemas.openxmlformats.org/officeDocument/2006/relationships/hyperlink" Target="https://drive.google.com/file/d/1Pc2Shp8slJ6TTKOosefze2Z43Rw07rMy/view?usp=drivesdk" TargetMode="External"/><Relationship  Id="rId98" Type="http://schemas.openxmlformats.org/officeDocument/2006/relationships/hyperlink" Target="https://drive.google.com/file/d/1z_Qx9A41Tkf6yv9z2EzIgWlO9_K4viuJ/view?usp=drivesdk" TargetMode="External"/><Relationship  Id="rId99" Type="http://schemas.openxmlformats.org/officeDocument/2006/relationships/hyperlink" Target="https://drive.google.com/file/d/1E1NVMt8osHQ0bpn-6kcqyVvSiIJJLAn8/view?usp=drivesdk" TargetMode="Externa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drive.google.com/file/d/1vPn9EphH9Ez-CtG5AV743ZI571oddjoS/view?usp=drivesdk" TargetMode="External"/><Relationship  Id="rId10" Type="http://schemas.openxmlformats.org/officeDocument/2006/relationships/hyperlink" Target="https://drive.google.com/file/d/1nB36oNXihotSqcVi3Zo6fWirl8zyJtWC/view?usp=drivesdk" TargetMode="External"/><Relationship  Id="rId11" Type="http://schemas.openxmlformats.org/officeDocument/2006/relationships/hyperlink" Target="https://drive.google.com/file/d/1crWestL81Jz9Inhum9EU1dv8npLyZeNs/view?usp=drivesdk" TargetMode="External"/><Relationship  Id="rId12" Type="http://schemas.openxmlformats.org/officeDocument/2006/relationships/hyperlink" Target="https://drive.google.com/file/d/15J5FSzphvwLqaWpKgc0l7RAuqQwM9RgR/view?usp=drivesdk" TargetMode="External"/><Relationship  Id="rId13" Type="http://schemas.openxmlformats.org/officeDocument/2006/relationships/hyperlink" Target="https://drive.google.com/file/d/1vwhsk2Qnn1f7zOXjThHweIhgNtvu_v1y/view?usp=drivesdk" TargetMode="External"/><Relationship  Id="rId14" Type="http://schemas.openxmlformats.org/officeDocument/2006/relationships/hyperlink" Target="https://drive.google.com/file/d/1T8rpyuFewPsoJcvtEFOa3MghiH8u2_aV/view?usp=drivesdk" TargetMode="External"/><Relationship  Id="rId15" Type="http://schemas.openxmlformats.org/officeDocument/2006/relationships/hyperlink" Target="https://drive.google.com/file/d/1yV_baoi4hN96V3uJtI74rnF1JxZkb4Hl/view?usp=drivesdk" TargetMode="External"/><Relationship  Id="rId16" Type="http://schemas.openxmlformats.org/officeDocument/2006/relationships/hyperlink" Target="https://drive.google.com/file/d/1mGKZU0uCN9i01uRRJT5mQTTS5FVMMs8o/view?usp=drivesdk" TargetMode="External"/><Relationship  Id="rId17" Type="http://schemas.openxmlformats.org/officeDocument/2006/relationships/hyperlink" Target="https://drive.google.com/file/d/1alQ0qCBNaTjN7MjdPwFwV_xn0rS9iZiZ/view?usp=drivesdk" TargetMode="External"/><Relationship  Id="rId18" Type="http://schemas.openxmlformats.org/officeDocument/2006/relationships/hyperlink" Target="https://drive.google.com/file/d/1ukt74oSwZDMrgvg9stwm5Snlpmro3Gng/view?usp=drivesdk" TargetMode="External"/><Relationship  Id="rId19" Type="http://schemas.openxmlformats.org/officeDocument/2006/relationships/hyperlink" Target="https://drive.google.com/file/d/1csEENhS50ik59LdBU4y3oaZBTC6X9YGL/view?usp=drivesdk" TargetMode="External"/><Relationship  Id="rId2" Type="http://schemas.openxmlformats.org/officeDocument/2006/relationships/hyperlink" Target="https://drive.google.com/file/d/1RK4IQtEFiw81JG91LxPSTWPMud5keKs4/view?usp=drivesdk" TargetMode="External"/><Relationship  Id="rId20" Type="http://schemas.openxmlformats.org/officeDocument/2006/relationships/hyperlink" Target="https://drive.google.com/file/d/154EXhdDSi-0OdipgxHqv75khnYt3qz78/view?usp=drivesdk" TargetMode="External"/><Relationship  Id="rId21" Type="http://schemas.openxmlformats.org/officeDocument/2006/relationships/hyperlink" Target="https://drive.google.com/file/d/1A8LaY2NI9RkfiekjM0BskQSBP-0CywZl/view?usp=drivesdk" TargetMode="External"/><Relationship  Id="rId22" Type="http://schemas.openxmlformats.org/officeDocument/2006/relationships/hyperlink" Target="https://drive.google.com/file/d/1omaTDMCsz4HYKnFu95lcy2mEGznvzkAT/view?usp=drivesdk" TargetMode="External"/><Relationship  Id="rId23" Type="http://schemas.openxmlformats.org/officeDocument/2006/relationships/hyperlink" Target="https://drive.google.com/file/d/1UoDX33xaD3qrBSuUc_zIZcU4Y5ytxPxN/view?usp=drivesdk" TargetMode="External"/><Relationship  Id="rId24" Type="http://schemas.openxmlformats.org/officeDocument/2006/relationships/hyperlink" Target="https://drive.google.com/file/d/1Tew5Y7qJlkFmyktM4PiBsLG9sxmd4GS3/view?usp=drivesdk" TargetMode="External"/><Relationship  Id="rId25" Type="http://schemas.openxmlformats.org/officeDocument/2006/relationships/hyperlink" Target="https://drive.google.com/file/d/1KdGjofO9aadmDvl272Oyj8sjizEZAZkv/view?usp=drivesdk" TargetMode="External"/><Relationship  Id="rId26" Type="http://schemas.openxmlformats.org/officeDocument/2006/relationships/hyperlink" Target="https://drive.google.com/file/d/1cpvjucmyUL_4pxfFXnJL0Nr-aBzbh-AW/view?usp=drivesdk" TargetMode="External"/><Relationship  Id="rId27" Type="http://schemas.openxmlformats.org/officeDocument/2006/relationships/hyperlink" Target="https://drive.google.com/file/d/1gUZPmpgbH62_4i96n1a3X3JLOK9inzW0/view?usp=drivesdk" TargetMode="External"/><Relationship  Id="rId28" Type="http://schemas.openxmlformats.org/officeDocument/2006/relationships/hyperlink" Target="https://drive.google.com/file/d/1T3WrvWXhqfrkMascRUdJoF5zNZSh020X/view?usp=drivesdk" TargetMode="External"/><Relationship  Id="rId29" Type="http://schemas.openxmlformats.org/officeDocument/2006/relationships/hyperlink" Target="https://drive.google.com/file/d/1repwrDO5b_ovi_UI4oriw2HAvoBKXiUz/view?usp=drivesdk" TargetMode="External"/><Relationship  Id="rId3" Type="http://schemas.openxmlformats.org/officeDocument/2006/relationships/hyperlink" Target="https://drive.google.com/file/d/1vZeqDw02dpKrjC_ukelcdjyR-CfxCcLs/view?usp=drivesdk" TargetMode="External"/><Relationship  Id="rId30" Type="http://schemas.openxmlformats.org/officeDocument/2006/relationships/hyperlink" Target="https://drive.google.com/file/d/1e4tM0JF2EKumNiQJxILyv1_MyiNKAoeV/view?usp=drivesdk" TargetMode="External"/><Relationship  Id="rId31" Type="http://schemas.openxmlformats.org/officeDocument/2006/relationships/hyperlink" Target="https://drive.google.com/file/d/1oPLXRg_cVxE5BFogdvlrEHXnTYM_q0rP/view?usp=drivesdk" TargetMode="External"/><Relationship  Id="rId32" Type="http://schemas.openxmlformats.org/officeDocument/2006/relationships/hyperlink" Target="https://drive.google.com/file/d/1h1jBsFglaT8Q2y3NSfnc7088-xxdg__G/view?usp=drivesdk" TargetMode="External"/><Relationship  Id="rId33" Type="http://schemas.openxmlformats.org/officeDocument/2006/relationships/hyperlink" Target="https://drive.google.com/file/d/1nSiLwV51NWcVAEqq0lHd3x5kZHBjHI-7/view?usp=drivesdk" TargetMode="External"/><Relationship  Id="rId34" Type="http://schemas.openxmlformats.org/officeDocument/2006/relationships/hyperlink" Target="https://drive.google.com/file/d/18PVyF4RXslj0awwoSpY87xn6e4Fb3k0x/view?usp=drivesdk" TargetMode="External"/><Relationship  Id="rId35" Type="http://schemas.openxmlformats.org/officeDocument/2006/relationships/hyperlink" Target="https://drive.google.com/file/d/17B3-dOgO96i1vaw0Y7IBvYFqC1gi2UnP/view?usp=drivesdk" TargetMode="External"/><Relationship  Id="rId36" Type="http://schemas.openxmlformats.org/officeDocument/2006/relationships/hyperlink" Target="https://drive.google.com/file/d/1p-oC36Is8HrI_KuDprZZ7hJ0VFAO2-nd/view?usp=drivesdk" TargetMode="External"/><Relationship  Id="rId37" Type="http://schemas.openxmlformats.org/officeDocument/2006/relationships/hyperlink" Target="https://drive.google.com/file/d/1pIVWFJ56F5KKFEBDHKtBuKN40dtOLTsL/view?usp=drivesdk" TargetMode="External"/><Relationship  Id="rId38" Type="http://schemas.openxmlformats.org/officeDocument/2006/relationships/hyperlink" Target="https://drive.google.com/file/d/1xfASbpZaBDMI9ul-kITlrHhjw5gIH-EH/view?usp=drivesdk" TargetMode="External"/><Relationship  Id="rId39" Type="http://schemas.openxmlformats.org/officeDocument/2006/relationships/hyperlink" Target="https://drive.google.com/file/d/1IdiaWeEj-bdDtlVRAOuYsEtYb2_TfSMt/view?usp=drivesdk" TargetMode="External"/><Relationship  Id="rId4" Type="http://schemas.openxmlformats.org/officeDocument/2006/relationships/hyperlink" Target="https://drive.google.com/file/d/1BMtSJPBpgnqSwN1lKXQWOEEyilpxkwOd/view?usp=drivesdk" TargetMode="External"/><Relationship  Id="rId40" Type="http://schemas.openxmlformats.org/officeDocument/2006/relationships/hyperlink" Target="https://drive.google.com/file/d/1-3k9wamFLGkRlx-JyiL4KK1-DSiudF_L/view?usp=drivesdk" TargetMode="External"/><Relationship  Id="rId41" Type="http://schemas.openxmlformats.org/officeDocument/2006/relationships/hyperlink" Target="https://drive.google.com/file/d/1S8UBFr9BX7loqvnpxXUW6g6786VdnvLy/view?usp=drivesdk" TargetMode="External"/><Relationship  Id="rId42" Type="http://schemas.openxmlformats.org/officeDocument/2006/relationships/hyperlink" Target="https://drive.google.com/file/d/12C9zNqh0naJOfnpfSBifLL1zRQtCSeYC/view?usp=drivesdk" TargetMode="External"/><Relationship  Id="rId43" Type="http://schemas.openxmlformats.org/officeDocument/2006/relationships/hyperlink" Target="https://drive.google.com/file/d/1k8yYPgxrllb771PddDjNCsNidi3kGixy/view?usp=drivesdk" TargetMode="External"/><Relationship  Id="rId44" Type="http://schemas.openxmlformats.org/officeDocument/2006/relationships/hyperlink" Target="https://drive.google.com/file/d/18BOiWkafnBaKJeEIWpTbdhEbMWyXRxi8/view?usp=drivesdk" TargetMode="External"/><Relationship  Id="rId45" Type="http://schemas.openxmlformats.org/officeDocument/2006/relationships/hyperlink" Target="https://drive.google.com/file/d/1hHJ_51JSThMxinLxEKJw4xann8fPsw6E/view?usp=drivesdk" TargetMode="External"/><Relationship  Id="rId46" Type="http://schemas.openxmlformats.org/officeDocument/2006/relationships/hyperlink" Target="https://drive.google.com/file/d/1dygpOOrO4lpCXRR0K8sqcVj-ZdpeWC5j/view?usp=drivesdk" TargetMode="External"/><Relationship  Id="rId47" Type="http://schemas.openxmlformats.org/officeDocument/2006/relationships/hyperlink" Target="https://drive.google.com/file/d/1huNTbUFKwWJxLH1p8-Qt7TApdiuJfy5i/view?usp=drivesdk" TargetMode="External"/><Relationship  Id="rId48" Type="http://schemas.openxmlformats.org/officeDocument/2006/relationships/hyperlink" Target="https://drive.google.com/file/d/1vHLAun5KTXfQclX8qWi9l-nGd5Va8sT4/view?usp=drivesdk" TargetMode="External"/><Relationship  Id="rId49" Type="http://schemas.openxmlformats.org/officeDocument/2006/relationships/hyperlink" Target="https://drive.google.com/file/d/1deeFmdDNjbUDvuvgnJ-owostX0ZP6DDd/view?usp=drivesdk" TargetMode="External"/><Relationship  Id="rId5" Type="http://schemas.openxmlformats.org/officeDocument/2006/relationships/hyperlink" Target="https://drive.google.com/file/d/1JxGn3BvuG_0TnBZHjskrIvcAoHRbdLcn/view?usp=drivesdk" TargetMode="External"/><Relationship  Id="rId50" Type="http://schemas.openxmlformats.org/officeDocument/2006/relationships/hyperlink" Target="https://drive.google.com/file/d/18bJkkwWuNcR2NDdKhgnZo9HyVmCJTunv/view?usp=drivesdk" TargetMode="External"/><Relationship  Id="rId51" Type="http://schemas.openxmlformats.org/officeDocument/2006/relationships/hyperlink" Target="https://drive.google.com/file/d/18T0FqYe6lncXvqxkUJvx1BFJpOXOVigk/view?usp=drivesdk" TargetMode="External"/><Relationship  Id="rId52" Type="http://schemas.openxmlformats.org/officeDocument/2006/relationships/hyperlink" Target="https://drive.google.com/file/d/19k-E9v5Jrsb20pvLzQSNDoVv6e7x3h6m/view?usp=drivesdk" TargetMode="External"/><Relationship  Id="rId53" Type="http://schemas.openxmlformats.org/officeDocument/2006/relationships/hyperlink" Target="https://drive.google.com/file/d/1rqgkTP1ClLNnWfcu4uAFP2Y9seT2kEwJ/view?usp=drivesdk" TargetMode="External"/><Relationship  Id="rId54" Type="http://schemas.openxmlformats.org/officeDocument/2006/relationships/hyperlink" Target="https://drive.google.com/file/d/1H9cKL37WldPoq-36iq3SRTvqOJLTiM_V/view?usp=drivesdk" TargetMode="External"/><Relationship  Id="rId55" Type="http://schemas.openxmlformats.org/officeDocument/2006/relationships/hyperlink" Target="https://drive.google.com/file/d/1C1-dTJ0VUcYOYhE27CrcUKeiWkhGKL-D/view?usp=drivesdk" TargetMode="External"/><Relationship  Id="rId56" Type="http://schemas.openxmlformats.org/officeDocument/2006/relationships/hyperlink" Target="https://drive.google.com/file/d/1tC0W3Sx1PJte_XzEYjBV8RHmqqh1Hee5/view?usp=drivesdk" TargetMode="External"/><Relationship  Id="rId57" Type="http://schemas.openxmlformats.org/officeDocument/2006/relationships/hyperlink" Target="https://drive.google.com/file/d/1s2BhvDN8iFn3YzpVIXdTcqpk8tRvYZ_B/view?usp=drivesdk" TargetMode="External"/><Relationship  Id="rId58" Type="http://schemas.openxmlformats.org/officeDocument/2006/relationships/hyperlink" Target="https://drive.google.com/file/d/1lkyZPF_qzHl7MHWTV1mkNX8furxsm3hw/view?usp=drivesdk" TargetMode="External"/><Relationship  Id="rId59" Type="http://schemas.openxmlformats.org/officeDocument/2006/relationships/hyperlink" Target="https://drive.google.com/file/d/1AyRlrHhhdE9y1duvvkMmu1g1H_oDz-cm/view?usp=drivesdk" TargetMode="External"/><Relationship  Id="rId6" Type="http://schemas.openxmlformats.org/officeDocument/2006/relationships/hyperlink" Target="https://drive.google.com/file/d/1y-jw_X0r3RMBdef7hZHcPcoedZzlqi5Z/view?usp=drivesdk" TargetMode="External"/><Relationship  Id="rId60" Type="http://schemas.openxmlformats.org/officeDocument/2006/relationships/hyperlink" Target="https://drive.google.com/file/d/1NR-gUHxEqexzW_Fz9i_xubzH1emaxSM0/view?usp=drivesdk" TargetMode="External"/><Relationship  Id="rId61" Type="http://schemas.openxmlformats.org/officeDocument/2006/relationships/hyperlink" Target="https://drive.google.com/file/d/1sJA6vqsdHf491nKz3i8GZB8Pfp-pWgGK/view?usp=drivesdk" TargetMode="External"/><Relationship  Id="rId62" Type="http://schemas.openxmlformats.org/officeDocument/2006/relationships/hyperlink" Target="https://drive.google.com/file/d/132-48eNbflqKq261Vm1tMONDi8lxt6Ig/view?usp=drivesdk" TargetMode="External"/><Relationship  Id="rId63" Type="http://schemas.openxmlformats.org/officeDocument/2006/relationships/hyperlink" Target="https://drive.google.com/file/d/1j2Z0ZYSB6hjJyK_l3fAKM9qbOdF8D0lP/view?usp=drivesdk" TargetMode="External"/><Relationship  Id="rId64" Type="http://schemas.openxmlformats.org/officeDocument/2006/relationships/hyperlink" Target="https://drive.google.com/file/d/13adbFClpbTmYQqF9_Ae543_NUGZqEO2C/view?usp=drivesdk" TargetMode="External"/><Relationship  Id="rId65" Type="http://schemas.openxmlformats.org/officeDocument/2006/relationships/hyperlink" Target="https://drive.google.com/file/d/1hHZhOXHmbTxY4VnH5m-tbtr9ppyYoWID/view?usp=drivesdk" TargetMode="External"/><Relationship  Id="rId66" Type="http://schemas.openxmlformats.org/officeDocument/2006/relationships/hyperlink" Target="https://drive.google.com/file/d/1ZWl-kXSS_PdXItt-A3OgqC54YGP95erJ/view?usp=drivesdk" TargetMode="External"/><Relationship  Id="rId67" Type="http://schemas.openxmlformats.org/officeDocument/2006/relationships/hyperlink" Target="https://drive.google.com/file/d/1k8lhQtlm7Ly6p9LvluB03WzcsjgVXUQp/view?usp=drivesdk" TargetMode="External"/><Relationship  Id="rId68" Type="http://schemas.openxmlformats.org/officeDocument/2006/relationships/hyperlink" Target="https://drive.google.com/file/d/1GSsrNS8K2tRjKDZ5_OoHrB30n7lUh4QU/view?usp=drivesdk" TargetMode="External"/><Relationship  Id="rId69" Type="http://schemas.openxmlformats.org/officeDocument/2006/relationships/hyperlink" Target="https://drive.google.com/file/d/11xRvL5MiACTMK8JiYCgI82Y-w7Ivlj4G/view?usp=drivesdk" TargetMode="External"/><Relationship  Id="rId7" Type="http://schemas.openxmlformats.org/officeDocument/2006/relationships/hyperlink" Target="https://drive.google.com/file/d/1VNlma5pkuRrBgpv91x8iW6mZmmxw3MQ5/view?usp=drivesdk" TargetMode="External"/><Relationship  Id="rId70" Type="http://schemas.openxmlformats.org/officeDocument/2006/relationships/hyperlink" Target="https://drive.google.com/file/d/1vpOb-PnWsTFK6b5mmA0As-QQN-Jk3x-Q/view?usp=drivesdk" TargetMode="External"/><Relationship  Id="rId71" Type="http://schemas.openxmlformats.org/officeDocument/2006/relationships/hyperlink" Target="https://drive.google.com/file/d/1DfqxEf9PVGyI89tShMKrKqtRH_zWUptL/view?usp=drivesdk" TargetMode="External"/><Relationship  Id="rId72" Type="http://schemas.openxmlformats.org/officeDocument/2006/relationships/hyperlink" Target="https://drive.google.com/file/d/1o_3N_JfZ7OPRbTICW7UlPuxYykzDN6rQ/view?usp=drivesdk" TargetMode="External"/><Relationship  Id="rId73" Type="http://schemas.openxmlformats.org/officeDocument/2006/relationships/hyperlink" Target="https://drive.google.com/file/d/1Evm3w6w5o9smxmcFxAWvYMy1rafKBJMH/view?usp=drivesdk" TargetMode="External"/><Relationship  Id="rId74" Type="http://schemas.openxmlformats.org/officeDocument/2006/relationships/hyperlink" Target="https://drive.google.com/file/d/1vMWfqni9tgrbrqrn_8pAx8fFK41IEded/view?usp=drivesdk" TargetMode="External"/><Relationship  Id="rId75" Type="http://schemas.openxmlformats.org/officeDocument/2006/relationships/hyperlink" Target="https://drive.google.com/file/d/1o-C4A8VsSGh5MzXQSn7mZs5kT-NuOyzV/view?usp=drivesdk" TargetMode="External"/><Relationship  Id="rId76" Type="http://schemas.openxmlformats.org/officeDocument/2006/relationships/hyperlink" Target="https://drive.google.com/file/d/1op3oCHRxQk6Qq4OQFk-s4cc34r2XwWjM/view?usp=drivesdk" TargetMode="External"/><Relationship  Id="rId77" Type="http://schemas.openxmlformats.org/officeDocument/2006/relationships/hyperlink" Target="https://drive.google.com/file/d/15uT99ac5cwq3r8P1sR-37QMaNl7JQjDT/view?usp=drivesdk" TargetMode="External"/><Relationship  Id="rId78" Type="http://schemas.openxmlformats.org/officeDocument/2006/relationships/hyperlink" Target="https://drive.google.com/file/d/1XWw3XvrCS5xp6BNVsdYs9Hv5nS3gjwsh/view?usp=drivesdk" TargetMode="External"/><Relationship  Id="rId79" Type="http://schemas.openxmlformats.org/officeDocument/2006/relationships/hyperlink" Target="https://drive.google.com/file/d/1-qQ5zDE4PXDsaqSM7wGv0wAUmdSnFlA8/view?usp=drivesdk" TargetMode="External"/><Relationship  Id="rId8" Type="http://schemas.openxmlformats.org/officeDocument/2006/relationships/hyperlink" Target="https://drive.google.com/file/d/11RQIpvK8U4tF8vxfiLafwr2SoaA-_EJO/view?usp=drivesdk" TargetMode="External"/><Relationship  Id="rId80" Type="http://schemas.openxmlformats.org/officeDocument/2006/relationships/hyperlink" Target="https://drive.google.com/file/d/1O_W-dYQB4ARQxPm--iqQ4nvixQt14MLB/view?usp=drivesdk" TargetMode="External"/><Relationship  Id="rId81" Type="http://schemas.openxmlformats.org/officeDocument/2006/relationships/hyperlink" Target="https://drive.google.com/file/d/1at1Z8bs2ct0Kk_OeGzaGcjQCuc3Rbx9u/view?usp=drivesdk" TargetMode="External"/><Relationship  Id="rId82" Type="http://schemas.openxmlformats.org/officeDocument/2006/relationships/hyperlink" Target="https://drive.google.com/file/d/1LrwCLfpBvkvXyhd3hGy8rulOHssMrfKI/view?usp=drivesdk" TargetMode="External"/><Relationship  Id="rId83" Type="http://schemas.openxmlformats.org/officeDocument/2006/relationships/hyperlink" Target="https://drive.google.com/file/d/1CMXyvvEq9Sbfa8k9y7lqnQ-muNl13bGL/view?usp=drivesdk" TargetMode="External"/><Relationship  Id="rId84" Type="http://schemas.openxmlformats.org/officeDocument/2006/relationships/hyperlink" Target="https://drive.google.com/file/d/1pWmf1cpdF7igQj1i5dkCgVZ3A8GM_blK/view?usp=drivesdk" TargetMode="External"/><Relationship  Id="rId85" Type="http://schemas.openxmlformats.org/officeDocument/2006/relationships/hyperlink" Target="https://drive.google.com/file/d/1sv5Q6Fp2PrE7KUrEBVhqBvtMxgJSGOUQ/view?usp=drivesdk" TargetMode="External"/><Relationship  Id="rId86" Type="http://schemas.openxmlformats.org/officeDocument/2006/relationships/hyperlink" Target="https://drive.google.com/file/d/177LhNaMLSPHJMOa5I32Z2C8awywzrW3Y/view?usp=drivesdk" TargetMode="External"/><Relationship  Id="rId87" Type="http://schemas.openxmlformats.org/officeDocument/2006/relationships/hyperlink" Target="https://drive.google.com/file/d/14vAAYceRHXsXE6HZIHI-KB-ntVunVT8b/view?usp=drivesdk" TargetMode="External"/><Relationship  Id="rId88" Type="http://schemas.openxmlformats.org/officeDocument/2006/relationships/hyperlink" Target="https://drive.google.com/file/d/1wcLOrmkHORoFVytxRv78yqDEh1-IRszk/view?usp=drivesdk" TargetMode="External"/><Relationship  Id="rId89" Type="http://schemas.openxmlformats.org/officeDocument/2006/relationships/hyperlink" Target="https://drive.google.com/file/d/1wJRTRCW1LoXt98bNM8UwDW11DnzhbzPO/view?usp=drivesdk" TargetMode="External"/><Relationship  Id="rId9" Type="http://schemas.openxmlformats.org/officeDocument/2006/relationships/hyperlink" Target="https://drive.google.com/file/d/1E2ThvZa6uYZDQxF4irUhYQUKPhO2rqJo/view?usp=drivesdk" TargetMode="External"/><Relationship  Id="rId90" Type="http://schemas.openxmlformats.org/officeDocument/2006/relationships/hyperlink" Target="https://drive.google.com/file/d/12hl2xwrwaoK7CiOJqdiJJcSSVfokBPuz/view?usp=drivesdk" TargetMode="External"/><Relationship  Id="rId91" Type="http://schemas.openxmlformats.org/officeDocument/2006/relationships/hyperlink" Target="https://drive.google.com/file/d/1rhVMIyKU6O-vQcCLqOX4wfcUkh-5JEP1/view?usp=drivesdk" TargetMode="External"/><Relationship  Id="rId92" Type="http://schemas.openxmlformats.org/officeDocument/2006/relationships/hyperlink" Target="https://drive.google.com/file/d/12pvl_0BQ5o35MlgWgNYJuVK8IbjAIjcf/view?usp=drivesdk" TargetMode="External"/><Relationship  Id="rId93" Type="http://schemas.openxmlformats.org/officeDocument/2006/relationships/hyperlink" Target="https://drive.google.com/file/d/1VR-iHyImKnoS0BJM9Fk0O5fN1L1rXoAi/view?usp=drivesdk" TargetMode="External"/><Relationship  Id="rId94" Type="http://schemas.openxmlformats.org/officeDocument/2006/relationships/hyperlink" Target="https://drive.google.com/file/d/1_krHK6SaGeCg5mvPyopXI775zDhKu0Tn/view?usp=drivesdk" TargetMode="External"/><Relationship  Id="rId95" Type="http://schemas.openxmlformats.org/officeDocument/2006/relationships/hyperlink" Target="https://drive.google.com/file/d/1YVHFyliDEGRe-vNTVP0Wt8BC37xF1omL/view?usp=drivesdk" TargetMode="External"/><Relationship  Id="rId96" Type="http://schemas.openxmlformats.org/officeDocument/2006/relationships/hyperlink" Target="https://drive.google.com/file/d/1VDw44rE9HXpXw0KK2zzyKeE_swS-ShiU/view?usp=drivesdk" TargetMode="External"/><Relationship  Id="rId97" Type="http://schemas.openxmlformats.org/officeDocument/2006/relationships/hyperlink" Target="https://drive.google.com/file/d/1ciSm0S55F2CP6xM9kGhMfiSNJU_GWvFO/view?usp=drivesdk" TargetMode="External"/><Relationship  Id="rId98" Type="http://schemas.openxmlformats.org/officeDocument/2006/relationships/hyperlink" Target="https://drive.google.com/file/d/1NuzxpEn3l_LZhSXU-gEkwOuY913Wf3qK/view?usp=drivesdk" TargetMode="Externa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s://drive.google.com/file/d/1a-uOa9x9yXzP0J7iuLZMYddyYrHmxRr_/view?usp=drivesdk" TargetMode="External"/><Relationship  Id="rId10" Type="http://schemas.openxmlformats.org/officeDocument/2006/relationships/hyperlink" Target="https://drive.google.com/file/d/19EbhFU4xeVhKDZuDss6HbY45LQp6cTKE/view?usp=drivesdk" TargetMode="External"/><Relationship  Id="rId11" Type="http://schemas.openxmlformats.org/officeDocument/2006/relationships/hyperlink" Target="https://drive.google.com/file/d/1KrDK0eUPAgRnA0dBA63dtPfOMqY7BgyZ/view?usp=drivesdk" TargetMode="External"/><Relationship  Id="rId12" Type="http://schemas.openxmlformats.org/officeDocument/2006/relationships/hyperlink" Target="https://drive.google.com/file/d/1FgqU60t75_ag7Z53dxLp2NnBG1_MwSqP/view?usp=drivesdk" TargetMode="External"/><Relationship  Id="rId13" Type="http://schemas.openxmlformats.org/officeDocument/2006/relationships/hyperlink" Target="https://drive.google.com/file/d/1fbJEegb0HZbuGNXG7EDtpErMg_dIOHrx/view?usp=drivesdk" TargetMode="External"/><Relationship  Id="rId14" Type="http://schemas.openxmlformats.org/officeDocument/2006/relationships/hyperlink" Target="https://drive.google.com/file/d/1Ws3s5W7VEXtsUKLgVOWAuoc3GnLwF-zx/view?usp=drivesdk" TargetMode="External"/><Relationship  Id="rId15" Type="http://schemas.openxmlformats.org/officeDocument/2006/relationships/hyperlink" Target="https://drive.google.com/file/d/1EA3derEjWlT9vfMnCJzJX3Q-_hYUiaOY/view?usp=drivesdk" TargetMode="External"/><Relationship  Id="rId16" Type="http://schemas.openxmlformats.org/officeDocument/2006/relationships/hyperlink" Target="https://drive.google.com/file/d/1hgvuw2wIiUg6VnB9OKISg3DhBcw7OgI9/view?usp=drivesdk" TargetMode="External"/><Relationship  Id="rId17" Type="http://schemas.openxmlformats.org/officeDocument/2006/relationships/hyperlink" Target="https://drive.google.com/file/d/159BT_GO9SchY3qO-sK9fZg4H87gfmKd8/view?usp=drivesdk" TargetMode="External"/><Relationship  Id="rId18" Type="http://schemas.openxmlformats.org/officeDocument/2006/relationships/hyperlink" Target="https://drive.google.com/file/d/1rXSdUT4GUYZNTp0vq7wUtTeIBlBSuTiH/view?usp=drivesdk" TargetMode="External"/><Relationship  Id="rId19" Type="http://schemas.openxmlformats.org/officeDocument/2006/relationships/hyperlink" Target="https://drive.google.com/file/d/1T8n7Xg44gpdLLBHQdBlAnBL9pCsC1hDr/view?usp=drivesdk" TargetMode="External"/><Relationship  Id="rId2" Type="http://schemas.openxmlformats.org/officeDocument/2006/relationships/hyperlink" Target="https://drive.google.com/file/d/1rI8d6Poibl3WYDKH_BzLSCMMomf1ztqu/view?usp=drivesdk" TargetMode="External"/><Relationship  Id="rId20" Type="http://schemas.openxmlformats.org/officeDocument/2006/relationships/hyperlink" Target="https://drive.google.com/file/d/1LJepmKp35DQCv8_zMRng1cGA4WlpdqmY/view?usp=drivesdk" TargetMode="External"/><Relationship  Id="rId21" Type="http://schemas.openxmlformats.org/officeDocument/2006/relationships/hyperlink" Target="https://drive.google.com/file/d/16qEIbqt9k8SYeiMrJ2rl8AYbgfK3MaUe/view?usp=drivesdk" TargetMode="External"/><Relationship  Id="rId22" Type="http://schemas.openxmlformats.org/officeDocument/2006/relationships/hyperlink" Target="https://drive.google.com/file/d/1ob18LxgMFgPdVwBxS5ujusyRVFmq-7L1/view?usp=drivesdk" TargetMode="External"/><Relationship  Id="rId23" Type="http://schemas.openxmlformats.org/officeDocument/2006/relationships/hyperlink" Target="https://drive.google.com/file/d/1lbETzF1tFEs_w8DSgGToTodeBlqUBv7e/view?usp=drivesdk" TargetMode="External"/><Relationship  Id="rId24" Type="http://schemas.openxmlformats.org/officeDocument/2006/relationships/hyperlink" Target="https://drive.google.com/file/d/1hk8ncDn6Tx-r6YVjbkYR7979omgRUSQy/view?usp=drivesdk" TargetMode="External"/><Relationship  Id="rId25" Type="http://schemas.openxmlformats.org/officeDocument/2006/relationships/hyperlink" Target="https://drive.google.com/file/d/1-eUfuFn2U8B6TGyG3J_oWOckIEK6CduO/view?usp=drivesdk" TargetMode="External"/><Relationship  Id="rId26" Type="http://schemas.openxmlformats.org/officeDocument/2006/relationships/hyperlink" Target="https://drive.google.com/file/d/1gFXlB1tEIudrMbPxVQDFEG3rMXP-se82/view?usp=drivesdk" TargetMode="External"/><Relationship  Id="rId27" Type="http://schemas.openxmlformats.org/officeDocument/2006/relationships/hyperlink" Target="https://drive.google.com/file/d/1DEDWDlXu18IuPApo8jjYpqKeNz6eNpff/view?usp=drivesdk" TargetMode="External"/><Relationship  Id="rId28" Type="http://schemas.openxmlformats.org/officeDocument/2006/relationships/hyperlink" Target="https://drive.google.com/file/d/1fZiljGMmRqmPperHUIzG1NAFD138oohm/view?usp=drivesdk" TargetMode="External"/><Relationship  Id="rId29" Type="http://schemas.openxmlformats.org/officeDocument/2006/relationships/hyperlink" Target="https://drive.google.com/file/d/1xMVFQp3Ot2sIpG7QO4G0Mf88iql6aSfH/view?usp=drivesdk" TargetMode="External"/><Relationship  Id="rId3" Type="http://schemas.openxmlformats.org/officeDocument/2006/relationships/hyperlink" Target="https://drive.google.com/file/d/1n16mhGgL5hDAtQ6qFzxI9NFNfQykOU-X/view?usp=drivesdk" TargetMode="External"/><Relationship  Id="rId30" Type="http://schemas.openxmlformats.org/officeDocument/2006/relationships/hyperlink" Target="https://drive.google.com/file/d/15uPXqjR6KUIUTm3I2O3ZPoZeynDnSknB/view?usp=drivesdk" TargetMode="External"/><Relationship  Id="rId31" Type="http://schemas.openxmlformats.org/officeDocument/2006/relationships/hyperlink" Target="https://drive.google.com/file/d/1M6izG8C5-QEOoRkc_hnG5AaR83wD0P9U/view?usp=drivesdk" TargetMode="External"/><Relationship  Id="rId32" Type="http://schemas.openxmlformats.org/officeDocument/2006/relationships/hyperlink" Target="https://drive.google.com/file/d/11j89Qw09EJEeOZyvALs9Xv1ptkmkpUSA/view?usp=drivesdk" TargetMode="External"/><Relationship  Id="rId33" Type="http://schemas.openxmlformats.org/officeDocument/2006/relationships/hyperlink" Target="https://drive.google.com/file/d/1wKQb5Q7TE4GdkRIHVtkcAAhShCemuchs/view?usp=drivesdk" TargetMode="External"/><Relationship  Id="rId34" Type="http://schemas.openxmlformats.org/officeDocument/2006/relationships/hyperlink" Target="https://drive.google.com/file/d/1v9Hg3aWaaZOvBf9v56V2e6SmfQCqlmpy/view?usp=drivesdk" TargetMode="External"/><Relationship  Id="rId35" Type="http://schemas.openxmlformats.org/officeDocument/2006/relationships/hyperlink" Target="https://drive.google.com/file/d/1Se1mSgc8xLPMTV2wTqoThUvoi3DTWzzc/view?usp=drivesdk" TargetMode="External"/><Relationship  Id="rId36" Type="http://schemas.openxmlformats.org/officeDocument/2006/relationships/hyperlink" Target="https://drive.google.com/file/d/1eIaPd1DbD5cDdCcKcmHbHvfr3bQmpAgI/view?usp=drivesdk" TargetMode="External"/><Relationship  Id="rId37" Type="http://schemas.openxmlformats.org/officeDocument/2006/relationships/hyperlink" Target="https://drive.google.com/file/d/1FrexCoeeLyrHTJh5HaDFPQltH5fdrX1p/view?usp=drivesdk" TargetMode="External"/><Relationship  Id="rId38" Type="http://schemas.openxmlformats.org/officeDocument/2006/relationships/hyperlink" Target="https://drive.google.com/file/d/1tULN0D6xdeZ0BTirMYeZurSb-35ZpMWd/view?usp=drivesdk" TargetMode="External"/><Relationship  Id="rId39" Type="http://schemas.openxmlformats.org/officeDocument/2006/relationships/hyperlink" Target="https://drive.google.com/file/d/1K3Kqc2E1p0OBawwtIPMCXZHZx6vYEPua/view?usp=drivesdk" TargetMode="External"/><Relationship  Id="rId4" Type="http://schemas.openxmlformats.org/officeDocument/2006/relationships/hyperlink" Target="https://drive.google.com/file/d/1jPavbgFDMvDUXjvBkZi9V70kg1vXfd-Z/view?usp=drivesdk" TargetMode="External"/><Relationship  Id="rId40" Type="http://schemas.openxmlformats.org/officeDocument/2006/relationships/hyperlink" Target="https://drive.google.com/file/d/1zWqsZU92kuhLz083PIBjXJWl6w9UGDTM/view?usp=drivesdk" TargetMode="External"/><Relationship  Id="rId41" Type="http://schemas.openxmlformats.org/officeDocument/2006/relationships/hyperlink" Target="https://drive.google.com/file/d/1RdybXkklFW3HbqMA8AKFGGnMRZsalI0x/view?usp=drivesdk" TargetMode="External"/><Relationship  Id="rId42" Type="http://schemas.openxmlformats.org/officeDocument/2006/relationships/hyperlink" Target="https://drive.google.com/file/d/1Qpkh7V28vWumf7dxUwEu-eF9NLCVIJ8E/view?usp=drivesdk" TargetMode="External"/><Relationship  Id="rId43" Type="http://schemas.openxmlformats.org/officeDocument/2006/relationships/hyperlink" Target="https://drive.google.com/file/d/1puGdke6h1uPM_P2PZDipi-LWpucG4B4D/view?usp=drivesdk" TargetMode="External"/><Relationship  Id="rId44" Type="http://schemas.openxmlformats.org/officeDocument/2006/relationships/hyperlink" Target="https://drive.google.com/file/d/1DxtGtfqKb0TJxGXIFjJlPRpEAviIaSz3/view?usp=drivesdk" TargetMode="External"/><Relationship  Id="rId45" Type="http://schemas.openxmlformats.org/officeDocument/2006/relationships/hyperlink" Target="https://drive.google.com/file/d/1ra54wyU7EBWabC2HDdED01oTtce-nVXL/view?usp=drivesdk" TargetMode="External"/><Relationship  Id="rId46" Type="http://schemas.openxmlformats.org/officeDocument/2006/relationships/hyperlink" Target="https://drive.google.com/file/d/1gVk0r3EMmebxgdRh0E25hgA5k5r07V_z/view?usp=drivesdk" TargetMode="External"/><Relationship  Id="rId5" Type="http://schemas.openxmlformats.org/officeDocument/2006/relationships/hyperlink" Target="https://drive.google.com/file/d/1DeMyC0OPH72maWPEeiYaheKsHDVIaxVk/view?usp=drivesdk" TargetMode="External"/><Relationship  Id="rId6" Type="http://schemas.openxmlformats.org/officeDocument/2006/relationships/hyperlink" Target="https://drive.google.com/file/d/1bR7N2h-ig_cWAOuLrsIQetSxxCKb-0lH/view?usp=drivesdk" TargetMode="External"/><Relationship  Id="rId7" Type="http://schemas.openxmlformats.org/officeDocument/2006/relationships/hyperlink" Target="https://drive.google.com/file/d/1CUCNL_PHH9-S4BWwksdXE3P4KVcHkKVb/view?usp=drivesdk" TargetMode="External"/><Relationship  Id="rId8" Type="http://schemas.openxmlformats.org/officeDocument/2006/relationships/hyperlink" Target="https://drive.google.com/file/d/1G8gCyX6grkmKZemfv_RVm6TE-UgCgDkk/view?usp=drivesdk" TargetMode="External"/><Relationship  Id="rId9" Type="http://schemas.openxmlformats.org/officeDocument/2006/relationships/hyperlink" Target="https://drive.google.com/file/d/1VJv8AVyaWSRQT6z4W-aHMhL3PYvBc-oD/view?usp=drivesdk" TargetMode="Externa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hyperlink" Target="https://drive.google.com/file/d/1gyUMYvdoAWp93yhR5yYZKB7kN6VS2SxE/view?usp=drivesdk" TargetMode="External"/><Relationship  Id="rId10" Type="http://schemas.openxmlformats.org/officeDocument/2006/relationships/hyperlink" Target="https://drive.google.com/file/d/1UmjUvnHaxt6BeT3jjrEykDQbcSa6V4yV/view?usp=drivesdk" TargetMode="External"/><Relationship  Id="rId11" Type="http://schemas.openxmlformats.org/officeDocument/2006/relationships/hyperlink" Target="https://drive.google.com/file/d/1LHlKr3Bk47mOWsvJ_R1tUp5uHJ1oHHHM/view?usp=drivesdk" TargetMode="External"/><Relationship  Id="rId12" Type="http://schemas.openxmlformats.org/officeDocument/2006/relationships/hyperlink" Target="https://drive.google.com/file/d/1AsNyuchpBCQQl4kEASbZE-IIO5FdzPCK/view?usp=drivesdk" TargetMode="External"/><Relationship  Id="rId13" Type="http://schemas.openxmlformats.org/officeDocument/2006/relationships/hyperlink" Target="https://drive.google.com/file/d/1WVFGwQ0m49_KQuLaHRMhFdKq10TR_E7U/view?usp=drivesdk" TargetMode="External"/><Relationship  Id="rId14" Type="http://schemas.openxmlformats.org/officeDocument/2006/relationships/hyperlink" Target="https://drive.google.com/file/d/1koI4RPd-nOHo_lb2iOgHTjr6mKzBoQ8c/view?usp=drivesdk" TargetMode="External"/><Relationship  Id="rId15" Type="http://schemas.openxmlformats.org/officeDocument/2006/relationships/hyperlink" Target="https://drive.google.com/file/d/1FBCNbuS3_lEecm604qOtLsP7BPtDVV5A/view?usp=drivesdk" TargetMode="External"/><Relationship  Id="rId16" Type="http://schemas.openxmlformats.org/officeDocument/2006/relationships/hyperlink" Target="https://drive.google.com/file/d/1uy6uMIJsz8MqXwnAgxKH8qFsVw24P5aq/view?usp=drivesdk" TargetMode="External"/><Relationship  Id="rId17" Type="http://schemas.openxmlformats.org/officeDocument/2006/relationships/hyperlink" Target="https://drive.google.com/file/d/1oGPHJH4NJfjdtR70rEzDR_rczylB9E4P/view?usp=drivesdk" TargetMode="External"/><Relationship  Id="rId18" Type="http://schemas.openxmlformats.org/officeDocument/2006/relationships/hyperlink" Target="https://drive.google.com/file/d/1Yzm6m5OGbrHLeXMFo9Iqzgjvg9CxTGfk/view?usp=drivesdk" TargetMode="External"/><Relationship  Id="rId19" Type="http://schemas.openxmlformats.org/officeDocument/2006/relationships/hyperlink" Target="https://drive.google.com/file/d/1VFKeUHnSFiu9_fzKy78LVFh7VRK1jyFE/view?usp=drivesdk" TargetMode="External"/><Relationship  Id="rId2" Type="http://schemas.openxmlformats.org/officeDocument/2006/relationships/hyperlink" Target="https://drive.google.com/file/d/1RomXGXq4D02P0f3OIuBCfx5HuIEalA7w/view?usp=drivesdk" TargetMode="External"/><Relationship  Id="rId20" Type="http://schemas.openxmlformats.org/officeDocument/2006/relationships/hyperlink" Target="https://drive.google.com/file/d/1H4QmffVYIcXCRnjadG-E2K_FzdLgoHcB/view?usp=drivesdk" TargetMode="External"/><Relationship  Id="rId21" Type="http://schemas.openxmlformats.org/officeDocument/2006/relationships/hyperlink" Target="https://drive.google.com/file/d/17aUuH1zh2QFm_baUArun_GgIrWADaZnP/view?usp=drivesdk" TargetMode="External"/><Relationship  Id="rId22" Type="http://schemas.openxmlformats.org/officeDocument/2006/relationships/hyperlink" Target="https://drive.google.com/file/d/1oTebnx5Nbn9hEZmpE20ixsE3WSBHAXIC/view?usp=drivesdk" TargetMode="External"/><Relationship  Id="rId23" Type="http://schemas.openxmlformats.org/officeDocument/2006/relationships/hyperlink" Target="https://drive.google.com/file/d/1nl9TkdO_KlxMAiyE9M4c6oYcEJvoyM-P/view?usp=drivesdk" TargetMode="External"/><Relationship  Id="rId24" Type="http://schemas.openxmlformats.org/officeDocument/2006/relationships/hyperlink" Target="https://drive.google.com/file/d/1QjwiUf5aB0tVsuecLaF7JDjHfwNE2XBZ/view?usp=drivesdk" TargetMode="External"/><Relationship  Id="rId25" Type="http://schemas.openxmlformats.org/officeDocument/2006/relationships/hyperlink" Target="https://drive.google.com/file/d/1jP1VSP6jNxhTR9mdiW2GSjaGosVzOHhH/view?usp=drivesdk" TargetMode="External"/><Relationship  Id="rId26" Type="http://schemas.openxmlformats.org/officeDocument/2006/relationships/hyperlink" Target="https://drive.google.com/file/d/1hsLjnRq-l8aOaSyX-fGYMGEOh8QdCtO8/view?usp=drivesdk" TargetMode="External"/><Relationship  Id="rId3" Type="http://schemas.openxmlformats.org/officeDocument/2006/relationships/hyperlink" Target="https://drive.google.com/file/d/1kk-n50-lgKa2Efjs186_3l_ydH-m83HN/view?usp=drivesdk" TargetMode="External"/><Relationship  Id="rId4" Type="http://schemas.openxmlformats.org/officeDocument/2006/relationships/hyperlink" Target="https://drive.google.com/file/d/1H2hyQG6O2w0pM_3K6xpCqWfDUAdyVq2u/view?usp=drivesdk" TargetMode="External"/><Relationship  Id="rId5" Type="http://schemas.openxmlformats.org/officeDocument/2006/relationships/hyperlink" Target="https://drive.google.com/file/d/1nOYQgrmFO5MQqh5kDUnf05OxlJc20Y8P/view?usp=drivesdk" TargetMode="External"/><Relationship  Id="rId6" Type="http://schemas.openxmlformats.org/officeDocument/2006/relationships/hyperlink" Target="https://drive.google.com/file/d/1PbxtA94A1_2lqEzrLOgMEK0CWlhdnE6C/view?usp=drivesdk" TargetMode="External"/><Relationship  Id="rId7" Type="http://schemas.openxmlformats.org/officeDocument/2006/relationships/hyperlink" Target="https://drive.google.com/file/d/1Rv1Qt1YcCGA4StmAj7SMbnIu_Twmdzpq/view?usp=drivesdk" TargetMode="External"/><Relationship  Id="rId8" Type="http://schemas.openxmlformats.org/officeDocument/2006/relationships/hyperlink" Target="https://drive.google.com/file/d/1tRu8QJeYFsCjglalcbcD1UIuRU4EbLAt/view?usp=drivesdk" TargetMode="External"/><Relationship  Id="rId9" Type="http://schemas.openxmlformats.org/officeDocument/2006/relationships/hyperlink" Target="https://drive.google.com/file/d/1qiSB2eMdloTTx7KWPfBLM3c075A6zXO2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21" zoomScale="100" workbookViewId="0">
      <selection activeCell="A1" activeCellId="0" sqref="A1"/>
    </sheetView>
  </sheetViews>
  <sheetFormatPr defaultRowHeight="25.5" customHeight="1"/>
  <cols>
    <col bestFit="1" min="1" max="1" width="16.57421875"/>
    <col bestFit="1" min="2" max="2" width="39.78125"/>
    <col bestFit="1" min="3" max="3" width="65.50390625"/>
    <col bestFit="1" min="5" max="5" width="11.7109375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25.5" customHeight="1">
      <c r="A2" s="5" t="s">
        <v>9</v>
      </c>
      <c r="B2" s="6" t="s">
        <v>10</v>
      </c>
      <c r="C2" s="6" t="s">
        <v>11</v>
      </c>
      <c r="D2" s="7" t="s">
        <v>12</v>
      </c>
      <c r="E2" s="8">
        <v>46094</v>
      </c>
      <c r="F2" s="7" t="s">
        <v>13</v>
      </c>
      <c r="G2" s="9" t="s">
        <v>14</v>
      </c>
      <c r="H2" s="10" t="str">
        <f>HYPERLINK("https://drive.google.com/file/d/1PuBg2d5StBYpYwuPsw6KcV7FCR_YQpHQ/view?usp=drivesdk","Dr. Priyanka Purvang Pradhan-Fundamentals of Accounting")</f>
        <v xml:space="preserve">Dr. Priyanka Purvang Pradhan-Fundamentals of Accounting</v>
      </c>
      <c r="I2" s="11" t="s">
        <v>15</v>
      </c>
    </row>
    <row r="3" ht="25.5" customHeight="1">
      <c r="A3" s="5" t="s">
        <v>9</v>
      </c>
      <c r="B3" s="12" t="s">
        <v>16</v>
      </c>
      <c r="C3" s="6" t="s">
        <v>17</v>
      </c>
      <c r="D3" s="7" t="s">
        <v>18</v>
      </c>
      <c r="E3" s="8">
        <v>46094</v>
      </c>
      <c r="F3" s="7" t="s">
        <v>19</v>
      </c>
      <c r="G3" s="9" t="s">
        <v>20</v>
      </c>
      <c r="H3" s="10" t="str">
        <f>HYPERLINK("https://drive.google.com/file/d/1KpxMKt4cOXKwNR3G5ytOYBkK9K6XOb1P/view?usp=drivesdk","Mr. Ankit Parmar-Taxation")</f>
        <v xml:space="preserve">Mr. Ankit Parmar-Taxation</v>
      </c>
      <c r="I3" s="11" t="s">
        <v>21</v>
      </c>
    </row>
    <row r="4" ht="25.5" customHeight="1">
      <c r="A4" s="5" t="s">
        <v>9</v>
      </c>
      <c r="B4" s="12" t="s">
        <v>22</v>
      </c>
      <c r="C4" s="6" t="s">
        <v>23</v>
      </c>
      <c r="D4" s="7" t="s">
        <v>24</v>
      </c>
      <c r="E4" s="8">
        <v>46094</v>
      </c>
      <c r="F4" s="7" t="s">
        <v>25</v>
      </c>
      <c r="G4" s="9" t="s">
        <v>26</v>
      </c>
      <c r="H4" s="10" t="str">
        <f>HYPERLINK("https://drive.google.com/file/d/14ugOgjSZfG1bTo9T-aWR3RHMKQLe82WU/view?usp=drivesdk","Ms.Shveta Shah-Human Resource Management")</f>
        <v xml:space="preserve">Ms.Shveta Shah-Human Resource Management</v>
      </c>
      <c r="I4" s="11" t="s">
        <v>21</v>
      </c>
    </row>
    <row r="5" ht="25.5" customHeight="1">
      <c r="A5" s="5" t="s">
        <v>9</v>
      </c>
      <c r="B5" s="6" t="s">
        <v>27</v>
      </c>
      <c r="C5" s="6" t="s">
        <v>28</v>
      </c>
      <c r="D5" s="7" t="s">
        <v>29</v>
      </c>
      <c r="E5" s="8">
        <v>46094</v>
      </c>
      <c r="F5" s="7" t="s">
        <v>30</v>
      </c>
      <c r="G5" s="9" t="s">
        <v>31</v>
      </c>
      <c r="H5" s="10" t="str">
        <f>HYPERLINK("https://drive.google.com/file/d/1kqEfLQ6rl51-5USLK5M3MAmg2mzQtGg7/view?usp=drivesdk","Dr. Charu Goyal-Research Methodology")</f>
        <v xml:space="preserve">Dr. Charu Goyal-Research Methodology</v>
      </c>
      <c r="I5" s="11" t="s">
        <v>21</v>
      </c>
    </row>
    <row r="6" ht="25.5" customHeight="1">
      <c r="A6" s="5" t="s">
        <v>9</v>
      </c>
      <c r="B6" s="12" t="s">
        <v>32</v>
      </c>
      <c r="C6" s="6" t="s">
        <v>33</v>
      </c>
      <c r="D6" s="7" t="s">
        <v>34</v>
      </c>
      <c r="E6" s="8">
        <v>46094</v>
      </c>
      <c r="F6" s="7" t="s">
        <v>35</v>
      </c>
      <c r="G6" s="9" t="s">
        <v>36</v>
      </c>
      <c r="H6" s="10" t="str">
        <f>HYPERLINK("https://drive.google.com/file/d/1GTI5GKF8vVK1bKkWrnJe_qg5ggQBNe3U/view?usp=drivesdk","Mr.Prabhakar Bethapudi -Business Data Analytics")</f>
        <v xml:space="preserve">Mr.Prabhakar Bethapudi -Business Data Analytics</v>
      </c>
      <c r="I6" s="11" t="s">
        <v>21</v>
      </c>
    </row>
    <row r="7" ht="25.5" customHeight="1">
      <c r="A7" s="5" t="s">
        <v>9</v>
      </c>
      <c r="B7" s="12" t="s">
        <v>37</v>
      </c>
      <c r="C7" s="12" t="s">
        <v>38</v>
      </c>
      <c r="D7" s="7" t="s">
        <v>39</v>
      </c>
      <c r="E7" s="8">
        <v>46094</v>
      </c>
      <c r="F7" s="7" t="s">
        <v>40</v>
      </c>
      <c r="G7" s="9" t="s">
        <v>41</v>
      </c>
      <c r="H7" s="10" t="str">
        <f>HYPERLINK("https://drive.google.com/file/d/15NW8Vodm6kXrtZKVBMt3OkA9jkXzsmEz/view?usp=drivesdk","Ms. Unnati Gandhi-HRM : Compensation Management")</f>
        <v xml:space="preserve">Ms. Unnati Gandhi-HRM : Compensation Management</v>
      </c>
      <c r="I7" s="11" t="s">
        <v>42</v>
      </c>
    </row>
    <row r="8" ht="25.5" customHeight="1">
      <c r="A8" s="5" t="s">
        <v>9</v>
      </c>
      <c r="B8" s="12" t="s">
        <v>43</v>
      </c>
      <c r="C8" s="13" t="s">
        <v>44</v>
      </c>
      <c r="D8" s="7" t="s">
        <v>45</v>
      </c>
      <c r="E8" s="8">
        <v>46094</v>
      </c>
      <c r="F8" s="7" t="s">
        <v>46</v>
      </c>
      <c r="G8" s="9" t="s">
        <v>47</v>
      </c>
      <c r="H8" s="10" t="str">
        <f>HYPERLINK("https://drive.google.com/file/d/1DlkhZC6zx4X1ePRf8Y8uhMcxD0qR-4Bi/view?usp=drivesdk","Mr.Mahendra Patel-Finance : Merger and Acquisition")</f>
        <v xml:space="preserve">Mr.Mahendra Patel-Finance : Merger and Acquisition</v>
      </c>
      <c r="I8" s="11" t="s">
        <v>48</v>
      </c>
    </row>
    <row r="9" ht="25.5" customHeight="1">
      <c r="A9" s="5" t="s">
        <v>9</v>
      </c>
      <c r="B9" s="12" t="s">
        <v>49</v>
      </c>
      <c r="C9" s="6" t="s">
        <v>50</v>
      </c>
      <c r="D9" s="7" t="s">
        <v>51</v>
      </c>
      <c r="E9" s="8">
        <v>46094</v>
      </c>
      <c r="F9" s="7" t="s">
        <v>52</v>
      </c>
      <c r="G9" s="9" t="s">
        <v>53</v>
      </c>
      <c r="H9" s="10" t="str">
        <f>HYPERLINK("https://drive.google.com/file/d/1x1krMYK8FGAgL9BfX1-YAS-GXx8Rd9od/view?usp=drivesdk","Mr. Amit Rathod-IB: Import Export Management")</f>
        <v xml:space="preserve">Mr. Amit Rathod-IB: Import Export Management</v>
      </c>
      <c r="I9" s="11" t="s">
        <v>54</v>
      </c>
    </row>
    <row r="10" ht="25.5" customHeight="1">
      <c r="A10" s="5" t="s">
        <v>9</v>
      </c>
      <c r="B10" s="12" t="s">
        <v>55</v>
      </c>
      <c r="C10" s="6" t="s">
        <v>56</v>
      </c>
      <c r="D10" s="7" t="s">
        <v>57</v>
      </c>
      <c r="E10" s="8">
        <v>46094</v>
      </c>
      <c r="F10" s="7" t="s">
        <v>58</v>
      </c>
      <c r="G10" s="9" t="s">
        <v>59</v>
      </c>
      <c r="H10" s="10" t="str">
        <f>HYPERLINK("https://drive.google.com/file/d/1YkZnJ4ro9JhZ5rUfvkQkMML_CVT19In0/view?usp=drivesdk","Ms. Manasi Patel -Business Economics – Micro")</f>
        <v xml:space="preserve">Ms. Manasi Patel -Business Economics – Micro</v>
      </c>
      <c r="I10" s="11" t="s">
        <v>54</v>
      </c>
    </row>
    <row r="11" ht="25.5" customHeight="1">
      <c r="A11" s="5" t="s">
        <v>9</v>
      </c>
      <c r="B11" s="6" t="s">
        <v>60</v>
      </c>
      <c r="C11" s="6" t="s">
        <v>61</v>
      </c>
      <c r="D11" s="7" t="s">
        <v>62</v>
      </c>
      <c r="E11" s="8">
        <v>46094</v>
      </c>
      <c r="F11" s="7" t="s">
        <v>63</v>
      </c>
      <c r="G11" s="9" t="s">
        <v>64</v>
      </c>
      <c r="H11" s="10" t="str">
        <f>HYPERLINK("https://drive.google.com/file/d/11JU-V0FKj7GE9x_svf3Zfd9rU_p2E5J5/view?usp=drivesdk","Dr. Bansi pandya-Business Communication")</f>
        <v xml:space="preserve">Dr. Bansi pandya-Business Communication</v>
      </c>
      <c r="I11" s="11" t="s">
        <v>54</v>
      </c>
    </row>
    <row r="12" ht="25.5" customHeight="1">
      <c r="A12" s="5" t="s">
        <v>9</v>
      </c>
      <c r="B12" s="12" t="s">
        <v>65</v>
      </c>
      <c r="C12" s="6" t="s">
        <v>66</v>
      </c>
      <c r="D12" s="7" t="s">
        <v>67</v>
      </c>
      <c r="E12" s="8">
        <v>46094</v>
      </c>
      <c r="F12" s="7" t="s">
        <v>68</v>
      </c>
      <c r="G12" s="9" t="s">
        <v>69</v>
      </c>
      <c r="H12" s="10" t="str">
        <f>HYPERLINK("https://drive.google.com/file/d/1pai4CI2hhtKUL-IUqV0Yh4owP9umVJUg/view?usp=drivesdk","Mr. Jitin Kumar-Marketing Management")</f>
        <v xml:space="preserve">Mr. Jitin Kumar-Marketing Management</v>
      </c>
      <c r="I12" s="11" t="s">
        <v>54</v>
      </c>
    </row>
    <row r="13" ht="25.5" customHeight="1">
      <c r="A13" s="5" t="s">
        <v>9</v>
      </c>
      <c r="B13" s="12" t="s">
        <v>70</v>
      </c>
      <c r="C13" s="6" t="s">
        <v>23</v>
      </c>
      <c r="D13" s="7" t="s">
        <v>71</v>
      </c>
      <c r="E13" s="8">
        <v>46106</v>
      </c>
      <c r="F13" s="7" t="s">
        <v>72</v>
      </c>
      <c r="G13" s="9" t="s">
        <v>73</v>
      </c>
      <c r="H13" s="10" t="str">
        <f>HYPERLINK("https://drive.google.com/file/d/1p5WBdZuOA21rpQiHGMUa0ZE03zMqZXhv/view?usp=drivesdk","Ms. Priyanka Patel-Human Resource Management")</f>
        <v xml:space="preserve">Ms. Priyanka Patel-Human Resource Management</v>
      </c>
      <c r="I13" s="11" t="s">
        <v>54</v>
      </c>
    </row>
    <row r="14" ht="25.5" customHeight="1">
      <c r="A14" s="5" t="s">
        <v>9</v>
      </c>
      <c r="B14" s="12" t="s">
        <v>74</v>
      </c>
      <c r="C14" s="6" t="s">
        <v>75</v>
      </c>
      <c r="D14" s="7" t="s">
        <v>76</v>
      </c>
      <c r="E14" s="8">
        <v>46094</v>
      </c>
      <c r="F14" s="7" t="s">
        <v>77</v>
      </c>
      <c r="G14" s="9" t="s">
        <v>78</v>
      </c>
      <c r="H14" s="10" t="str">
        <f>HYPERLINK("https://drive.google.com/file/d/1DTlcTiht5Ouj5MUwgm0iefzbMjtGECoI/view?usp=drivesdk","Ms. Kajal Gandhi-Finance for Manager")</f>
        <v xml:space="preserve">Ms. Kajal Gandhi-Finance for Manager</v>
      </c>
      <c r="I14" s="11" t="s">
        <v>79</v>
      </c>
    </row>
    <row r="15" ht="25.5" customHeight="1">
      <c r="A15" s="5" t="s">
        <v>9</v>
      </c>
      <c r="B15" s="12" t="s">
        <v>80</v>
      </c>
      <c r="C15" s="6" t="s">
        <v>81</v>
      </c>
      <c r="D15" s="7" t="s">
        <v>82</v>
      </c>
      <c r="E15" s="8">
        <v>46106</v>
      </c>
      <c r="F15" s="7" t="s">
        <v>83</v>
      </c>
      <c r="G15" s="9" t="s">
        <v>84</v>
      </c>
      <c r="H15" s="10" t="str">
        <f>HYPERLINK("https://drive.google.com/file/d/13euunsFUSRbNUSAV1bdCB1UN_oSxKwcq/view?usp=drivesdk","Mr. Nadeem Rizvi-Personality Development – I")</f>
        <v xml:space="preserve">Mr. Nadeem Rizvi-Personality Development – I</v>
      </c>
      <c r="I15" s="11" t="s">
        <v>79</v>
      </c>
    </row>
    <row r="16" ht="25.5" customHeight="1">
      <c r="A16" s="5" t="s">
        <v>9</v>
      </c>
      <c r="B16" s="12" t="s">
        <v>85</v>
      </c>
      <c r="C16" s="6" t="s">
        <v>86</v>
      </c>
      <c r="D16" s="7" t="s">
        <v>87</v>
      </c>
      <c r="E16" s="8">
        <v>46106</v>
      </c>
      <c r="F16" s="7" t="s">
        <v>88</v>
      </c>
      <c r="G16" s="9" t="s">
        <v>89</v>
      </c>
      <c r="H16" s="10" t="str">
        <f>HYPERLINK("https://drive.google.com/file/d/1Ot_S0yHVyIkjWxiopnd_MQ2TA0Q3EGoD/view?usp=drivesdk","Mr.Shivam Shukla-Physical Education – I")</f>
        <v xml:space="preserve">Mr.Shivam Shukla-Physical Education – I</v>
      </c>
      <c r="I16" s="11" t="s">
        <v>79</v>
      </c>
    </row>
    <row r="17" ht="25.5" customHeight="1">
      <c r="A17" s="5" t="s">
        <v>9</v>
      </c>
      <c r="B17" s="12" t="s">
        <v>90</v>
      </c>
      <c r="C17" s="6" t="s">
        <v>91</v>
      </c>
      <c r="D17" s="7" t="s">
        <v>92</v>
      </c>
      <c r="E17" s="8">
        <v>46106</v>
      </c>
      <c r="F17" s="7" t="s">
        <v>93</v>
      </c>
      <c r="G17" s="9" t="s">
        <v>94</v>
      </c>
      <c r="H17" s="10" t="str">
        <f>HYPERLINK("https://drive.google.com/file/d/1ZYHVRvKMlV4j3K4gMffuHS3WYuAYrJDQ/view?usp=drivesdk","Ms.Mistry Pooja -Organization of Commerce – I")</f>
        <v xml:space="preserve">Ms.Mistry Pooja -Organization of Commerce – I</v>
      </c>
      <c r="I17" s="11" t="s">
        <v>79</v>
      </c>
    </row>
    <row r="18" ht="25.5" customHeight="1">
      <c r="A18" s="5" t="s">
        <v>9</v>
      </c>
      <c r="B18" s="12" t="s">
        <v>95</v>
      </c>
      <c r="C18" s="6" t="s">
        <v>96</v>
      </c>
      <c r="D18" s="7" t="s">
        <v>97</v>
      </c>
      <c r="E18" s="8">
        <v>46106</v>
      </c>
      <c r="F18" s="7" t="s">
        <v>98</v>
      </c>
      <c r="G18" s="9" t="s">
        <v>99</v>
      </c>
      <c r="H18" s="10" t="str">
        <f>HYPERLINK("https://drive.google.com/file/d/1gssyKJmRAltP2gY55wMGZCEbn7MNMM8r/view?usp=drivesdk","Ms. Ketki Naik-Fundamentals of Economics")</f>
        <v xml:space="preserve">Ms. Ketki Naik-Fundamentals of Economics</v>
      </c>
      <c r="I18" s="11" t="s">
        <v>79</v>
      </c>
    </row>
    <row r="19" ht="25.5" customHeight="1">
      <c r="A19" s="14" t="s">
        <v>100</v>
      </c>
      <c r="B19" s="15" t="s">
        <v>101</v>
      </c>
      <c r="C19" s="15" t="s">
        <v>102</v>
      </c>
      <c r="D19" s="16" t="s">
        <v>103</v>
      </c>
      <c r="E19" s="17">
        <v>46083</v>
      </c>
      <c r="F19" s="16" t="s">
        <v>104</v>
      </c>
      <c r="G19" s="18" t="s">
        <v>105</v>
      </c>
      <c r="H19" s="19" t="str">
        <f>HYPERLINK("https://drive.google.com/file/d/1aIVFf4U5rWG6QA3MMo7l3TC9YhdHrM5C/view?usp=drivesdk","Dr. Parth Chhabra-Micro Economics")</f>
        <v xml:space="preserve">Dr. Parth Chhabra-Micro Economics</v>
      </c>
      <c r="I19" s="20" t="s">
        <v>106</v>
      </c>
    </row>
    <row r="20" ht="25.5" customHeight="1">
      <c r="A20" s="14" t="s">
        <v>100</v>
      </c>
      <c r="B20" s="15" t="s">
        <v>107</v>
      </c>
      <c r="C20" s="15" t="s">
        <v>108</v>
      </c>
      <c r="D20" s="16" t="s">
        <v>109</v>
      </c>
      <c r="E20" s="17">
        <v>46081</v>
      </c>
      <c r="F20" s="16" t="s">
        <v>110</v>
      </c>
      <c r="G20" s="18" t="s">
        <v>111</v>
      </c>
      <c r="H20" s="19" t="str">
        <f>HYPERLINK("https://drive.google.com/file/d/1URAOFXnwwHVX-kVGUCsjFuGQKNnK9BYY/view?usp=drivesdk","Ms. Meeral Tank-Banking &amp; Insurance: Principles of Banking &amp; Insurance")</f>
        <v xml:space="preserve">Ms. Meeral Tank-Banking &amp; Insurance: Principles of Banking &amp; Insurance</v>
      </c>
      <c r="I20" s="20" t="s">
        <v>106</v>
      </c>
    </row>
    <row r="21" ht="25.5" customHeight="1">
      <c r="A21" s="14" t="s">
        <v>100</v>
      </c>
      <c r="B21" s="15" t="s">
        <v>112</v>
      </c>
      <c r="C21" s="15" t="s">
        <v>113</v>
      </c>
      <c r="D21" s="16" t="s">
        <v>114</v>
      </c>
      <c r="E21" s="17">
        <v>46072</v>
      </c>
      <c r="F21" s="16" t="s">
        <v>115</v>
      </c>
      <c r="G21" s="18" t="s">
        <v>116</v>
      </c>
      <c r="H21" s="19" t="str">
        <f>HYPERLINK("https://drive.google.com/file/d/1_hg58-TS-0OBRKfh693vsF40FNhthdSv/view?usp=drivesdk","Dr. Ritesh Patel-Financial Management")</f>
        <v xml:space="preserve">Dr. Ritesh Patel-Financial Management</v>
      </c>
      <c r="I21" s="20" t="s">
        <v>106</v>
      </c>
    </row>
    <row r="22" ht="25.5" customHeight="1">
      <c r="A22" s="14" t="s">
        <v>100</v>
      </c>
      <c r="B22" s="15" t="s">
        <v>117</v>
      </c>
      <c r="C22" s="15" t="s">
        <v>118</v>
      </c>
      <c r="D22" s="16" t="s">
        <v>119</v>
      </c>
      <c r="E22" s="17">
        <v>46077</v>
      </c>
      <c r="F22" s="16" t="s">
        <v>120</v>
      </c>
      <c r="G22" s="18" t="s">
        <v>121</v>
      </c>
      <c r="H22" s="19" t="str">
        <f>HYPERLINK("https://drive.google.com/file/d/1m3cTb-hPgjCWS9w3VwycBINDjt9cGibc/view?usp=drivesdk","Mr. Ravindra Parmar-Fundamentals of Indirect Taxation &amp; GST")</f>
        <v xml:space="preserve">Mr. Ravindra Parmar-Fundamentals of Indirect Taxation &amp; GST</v>
      </c>
      <c r="I22" s="20" t="s">
        <v>106</v>
      </c>
    </row>
    <row r="23" ht="25.5" customHeight="1">
      <c r="A23" s="14" t="s">
        <v>100</v>
      </c>
      <c r="B23" s="15" t="s">
        <v>122</v>
      </c>
      <c r="C23" s="15" t="s">
        <v>123</v>
      </c>
      <c r="D23" s="16" t="s">
        <v>124</v>
      </c>
      <c r="E23" s="17">
        <v>46072</v>
      </c>
      <c r="F23" s="16" t="s">
        <v>125</v>
      </c>
      <c r="G23" s="18" t="s">
        <v>126</v>
      </c>
      <c r="H23" s="19" t="str">
        <f>HYPERLINK("https://drive.google.com/file/d/12McULl2553Az5axxsFAwOVZeEF7klmzi/view?usp=drivesdk","Mr. Yogesh Narayan-Business Law")</f>
        <v xml:space="preserve">Mr. Yogesh Narayan-Business Law</v>
      </c>
      <c r="I23" s="20" t="s">
        <v>106</v>
      </c>
    </row>
    <row r="24" ht="25.5" customHeight="1">
      <c r="A24" s="14" t="s">
        <v>100</v>
      </c>
      <c r="B24" s="15" t="s">
        <v>127</v>
      </c>
      <c r="C24" s="15" t="s">
        <v>128</v>
      </c>
      <c r="D24" s="16" t="s">
        <v>129</v>
      </c>
      <c r="E24" s="17">
        <v>46083</v>
      </c>
      <c r="F24" s="16" t="s">
        <v>130</v>
      </c>
      <c r="G24" s="18" t="s">
        <v>131</v>
      </c>
      <c r="H24" s="19" t="str">
        <f>HYPERLINK("https://drive.google.com/file/d/1r3rVdCs-PV46S2Hf81fYLLaThsoaCoD7/view?usp=drivesdk","Ms. Ankita Tiwari-Human Resource Management: Compensation and Management")</f>
        <v xml:space="preserve">Ms. Ankita Tiwari-Human Resource Management: Compensation and Management</v>
      </c>
      <c r="I24" s="20" t="s">
        <v>132</v>
      </c>
    </row>
    <row r="25" ht="25.5" customHeight="1">
      <c r="A25" s="14" t="s">
        <v>100</v>
      </c>
      <c r="B25" s="15" t="s">
        <v>133</v>
      </c>
      <c r="C25" s="15" t="s">
        <v>134</v>
      </c>
      <c r="D25" s="16" t="s">
        <v>135</v>
      </c>
      <c r="E25" s="17">
        <v>46083</v>
      </c>
      <c r="F25" s="16" t="s">
        <v>136</v>
      </c>
      <c r="G25" s="18" t="s">
        <v>137</v>
      </c>
      <c r="H25" s="19" t="str">
        <f>HYPERLINK("https://drive.google.com/file/d/1cP-WoG9gTv7g0XwUw6desx-o2_auSfL9/view?usp=drivesdk","Dr. Nidhi Nalwaya-Banking &amp; Insurance: Health Insurance")</f>
        <v xml:space="preserve">Dr. Nidhi Nalwaya-Banking &amp; Insurance: Health Insurance</v>
      </c>
      <c r="I25" s="20" t="s">
        <v>132</v>
      </c>
    </row>
    <row r="26" ht="25.5" customHeight="1">
      <c r="A26" s="14" t="s">
        <v>100</v>
      </c>
      <c r="B26" s="15" t="s">
        <v>138</v>
      </c>
      <c r="C26" s="15" t="s">
        <v>139</v>
      </c>
      <c r="D26" s="16" t="s">
        <v>140</v>
      </c>
      <c r="E26" s="17">
        <v>46083</v>
      </c>
      <c r="F26" s="16" t="s">
        <v>141</v>
      </c>
      <c r="G26" s="18" t="s">
        <v>142</v>
      </c>
      <c r="H26" s="19" t="str">
        <f>HYPERLINK("https://drive.google.com/file/d/13FWd3fpIoESTeaRbGABZG6wJGzzxcDGP/view?usp=drivesdk","Ms. Poorvaraj Vaghela-Marketing: Strategic Brand Management")</f>
        <v xml:space="preserve">Ms. Poorvaraj Vaghela-Marketing: Strategic Brand Management</v>
      </c>
      <c r="I26" s="20" t="s">
        <v>132</v>
      </c>
    </row>
    <row r="27" ht="25.5" customHeight="1">
      <c r="A27" s="14" t="s">
        <v>100</v>
      </c>
      <c r="B27" s="15" t="s">
        <v>143</v>
      </c>
      <c r="C27" s="15" t="s">
        <v>144</v>
      </c>
      <c r="D27" s="16" t="s">
        <v>145</v>
      </c>
      <c r="E27" s="17">
        <v>46083</v>
      </c>
      <c r="F27" s="16" t="s">
        <v>146</v>
      </c>
      <c r="G27" s="18" t="s">
        <v>147</v>
      </c>
      <c r="H27" s="19" t="str">
        <f>HYPERLINK("https://drive.google.com/file/d/1T4luGPPPe1HDPSRIhMh9RbkL5_LKdlVF/view?usp=drivesdk","Dr. Ashwinkumar A. Patel-Human Resource Management: Industrial Relationship &amp; Personal Management")</f>
        <v xml:space="preserve">Dr. Ashwinkumar A. Patel-Human Resource Management: Industrial Relationship &amp; Personal Management</v>
      </c>
      <c r="I27" s="20" t="s">
        <v>132</v>
      </c>
    </row>
    <row r="28" ht="25.5" customHeight="1">
      <c r="A28" s="14" t="s">
        <v>100</v>
      </c>
      <c r="B28" s="15" t="s">
        <v>148</v>
      </c>
      <c r="C28" s="15" t="s">
        <v>149</v>
      </c>
      <c r="D28" s="21" t="s">
        <v>150</v>
      </c>
      <c r="E28" s="17">
        <v>46077</v>
      </c>
      <c r="F28" s="16" t="s">
        <v>151</v>
      </c>
      <c r="G28" s="18" t="s">
        <v>152</v>
      </c>
      <c r="H28" s="19" t="str">
        <f>HYPERLINK("https://drive.google.com/file/d/1eX5_PXsQY6agSsLhq0fqqU0KeEw2blw2/view?usp=drivesdk","Dr. Isha Derashri-Banking &amp; Insurance: Banking &amp; Insurance Compliance and Governance")</f>
        <v xml:space="preserve">Dr. Isha Derashri-Banking &amp; Insurance: Banking &amp; Insurance Compliance and Governance</v>
      </c>
      <c r="I28" s="20" t="s">
        <v>132</v>
      </c>
    </row>
    <row r="29" ht="25.5" customHeight="1">
      <c r="A29" s="22" t="s">
        <v>153</v>
      </c>
      <c r="B29" s="23" t="s">
        <v>154</v>
      </c>
      <c r="C29" s="24" t="s">
        <v>155</v>
      </c>
      <c r="D29" s="25" t="s">
        <v>156</v>
      </c>
      <c r="E29" s="26">
        <v>45979</v>
      </c>
      <c r="F29" s="27" t="s">
        <v>157</v>
      </c>
      <c r="G29" s="28" t="s">
        <v>158</v>
      </c>
      <c r="H29" s="29" t="str">
        <f>HYPERLINK("https://drive.google.com/file/d/1gWiMpnq3pBaRjokxFAdpDi8AEjkknCbS/view?usp=drivesdk","Mr. Digesh Shah-Analog Electronics Circuits")</f>
        <v xml:space="preserve">Mr. Digesh Shah-Analog Electronics Circuits</v>
      </c>
      <c r="I29" s="30" t="s">
        <v>159</v>
      </c>
    </row>
    <row r="30" ht="25.5" customHeight="1">
      <c r="A30" s="22" t="s">
        <v>153</v>
      </c>
      <c r="B30" s="31" t="s">
        <v>160</v>
      </c>
      <c r="C30" s="31" t="s">
        <v>161</v>
      </c>
      <c r="D30" s="25" t="s">
        <v>162</v>
      </c>
      <c r="E30" s="32">
        <v>46112</v>
      </c>
      <c r="F30" s="27" t="s">
        <v>163</v>
      </c>
      <c r="G30" s="33" t="s">
        <v>164</v>
      </c>
      <c r="H30" s="29" t="str">
        <f>HYPERLINK("https://drive.google.com/file/d/1P-K_a-6fZ7ESaRUwHJXzJyI2OTffGsQs/view?usp=drivesdk","M Krishnam Raju-Bio Medical Electronics")</f>
        <v xml:space="preserve">M Krishnam Raju-Bio Medical Electronics</v>
      </c>
      <c r="I30" s="30" t="s">
        <v>159</v>
      </c>
    </row>
    <row r="31" ht="25.5" customHeight="1">
      <c r="A31" s="22" t="s">
        <v>153</v>
      </c>
      <c r="B31" s="23" t="s">
        <v>165</v>
      </c>
      <c r="C31" s="31" t="s">
        <v>166</v>
      </c>
      <c r="D31" s="25" t="s">
        <v>167</v>
      </c>
      <c r="E31" s="32">
        <v>46112</v>
      </c>
      <c r="F31" s="27" t="s">
        <v>168</v>
      </c>
      <c r="G31" s="28" t="s">
        <v>169</v>
      </c>
      <c r="H31" s="29" t="str">
        <f>HYPERLINK("https://drive.google.com/file/d/1HAkDfBT0WdddZiWZLQenP3KTueA28fr6/view?usp=drivesdk","Ms. Sona D Solanki-Artificial Intelligence ")</f>
        <v xml:space="preserve">Ms. Sona D Solanki-Artificial Intelligence </v>
      </c>
      <c r="I31" s="30" t="s">
        <v>159</v>
      </c>
    </row>
    <row r="32" ht="25.5" customHeight="1">
      <c r="A32" s="22" t="s">
        <v>153</v>
      </c>
      <c r="B32" s="34" t="s">
        <v>170</v>
      </c>
      <c r="C32" s="31" t="s">
        <v>171</v>
      </c>
      <c r="D32" s="25" t="s">
        <v>172</v>
      </c>
      <c r="E32" s="32">
        <v>46095</v>
      </c>
      <c r="F32" s="27" t="s">
        <v>173</v>
      </c>
      <c r="G32" s="28" t="s">
        <v>174</v>
      </c>
      <c r="H32" s="29" t="str">
        <f>HYPERLINK("https://drive.google.com/file/d/1baDvqcylK_RPmyZtoIv98miegzH2TASq/view?usp=drivesdk","Mr. Lakhan-Full stack Development using Python")</f>
        <v xml:space="preserve">Mr. Lakhan-Full stack Development using Python</v>
      </c>
      <c r="I32" s="30" t="s">
        <v>159</v>
      </c>
    </row>
    <row r="33" ht="25.5" customHeight="1">
      <c r="A33" s="22" t="s">
        <v>153</v>
      </c>
      <c r="B33" s="34" t="s">
        <v>175</v>
      </c>
      <c r="C33" s="31" t="s">
        <v>176</v>
      </c>
      <c r="D33" s="25" t="s">
        <v>177</v>
      </c>
      <c r="E33" s="32">
        <v>46097</v>
      </c>
      <c r="F33" s="27" t="s">
        <v>178</v>
      </c>
      <c r="G33" s="28" t="s">
        <v>179</v>
      </c>
      <c r="H33" s="29" t="str">
        <f>HYPERLINK("https://drive.google.com/file/d/1R16fSOL6ojUaOpbDeD170peuOr0IBb3N/view?usp=drivesdk","Mr. Vikas Sharma-Cloud Foundation ")</f>
        <v xml:space="preserve">Mr. Vikas Sharma-Cloud Foundation </v>
      </c>
      <c r="I33" s="30" t="s">
        <v>159</v>
      </c>
    </row>
    <row r="34" ht="25.5" customHeight="1">
      <c r="A34" s="22" t="s">
        <v>153</v>
      </c>
      <c r="B34" s="34" t="s">
        <v>180</v>
      </c>
      <c r="C34" s="31" t="s">
        <v>181</v>
      </c>
      <c r="D34" s="25" t="s">
        <v>182</v>
      </c>
      <c r="E34" s="32">
        <v>46112</v>
      </c>
      <c r="F34" s="27" t="s">
        <v>183</v>
      </c>
      <c r="G34" s="28" t="s">
        <v>184</v>
      </c>
      <c r="H34" s="29" t="str">
        <f>HYPERLINK("https://drive.google.com/file/d/1Jntrmes_6k6PqPSBN2yLp10lMNVhi_At/view?usp=drivesdk","Mr. Ravi -Principles of Operating System")</f>
        <v xml:space="preserve">Mr. Ravi -Principles of Operating System</v>
      </c>
      <c r="I34" s="30" t="s">
        <v>159</v>
      </c>
    </row>
    <row r="35" ht="25.5" customHeight="1">
      <c r="A35" s="22" t="s">
        <v>153</v>
      </c>
      <c r="B35" s="34" t="s">
        <v>185</v>
      </c>
      <c r="C35" s="31" t="s">
        <v>186</v>
      </c>
      <c r="D35" s="25" t="s">
        <v>187</v>
      </c>
      <c r="E35" s="32">
        <v>46119</v>
      </c>
      <c r="F35" s="27" t="s">
        <v>188</v>
      </c>
      <c r="G35" s="28" t="s">
        <v>189</v>
      </c>
      <c r="H35" s="29" t="str">
        <f>HYPERLINK("https://drive.google.com/file/d/1CgTm4vN_iiHiuf9z4M5xLxrwh5L5a-Tm/view?usp=drivesdk","Dr. K. Himabindu-Design of Data Structures")</f>
        <v xml:space="preserve">Dr. K. Himabindu-Design of Data Structures</v>
      </c>
      <c r="I35" s="30" t="s">
        <v>159</v>
      </c>
    </row>
    <row r="36" ht="25.5" customHeight="1">
      <c r="A36" s="22" t="s">
        <v>153</v>
      </c>
      <c r="B36" s="34" t="s">
        <v>190</v>
      </c>
      <c r="C36" s="31" t="s">
        <v>191</v>
      </c>
      <c r="D36" s="25" t="s">
        <v>192</v>
      </c>
      <c r="E36" s="32">
        <v>45934</v>
      </c>
      <c r="F36" s="27" t="s">
        <v>193</v>
      </c>
      <c r="G36" s="28" t="s">
        <v>194</v>
      </c>
      <c r="H36" s="29" t="str">
        <f>HYPERLINK("https://drive.google.com/file/d/14xjUOjNFCZphi9t6CiwN5RUSI_hQ_JhD/view?usp=drivesdk","Dr. Bharti Shalunke-Programming in Python with Full Stack Development")</f>
        <v xml:space="preserve">Dr. Bharti Shalunke-Programming in Python with Full Stack Development</v>
      </c>
      <c r="I36" s="30" t="s">
        <v>195</v>
      </c>
    </row>
    <row r="37" ht="25.5" customHeight="1">
      <c r="A37" s="22" t="s">
        <v>153</v>
      </c>
      <c r="B37" s="34" t="s">
        <v>196</v>
      </c>
      <c r="C37" s="31" t="s">
        <v>197</v>
      </c>
      <c r="D37" s="25" t="s">
        <v>198</v>
      </c>
      <c r="E37" s="32">
        <v>45933</v>
      </c>
      <c r="F37" s="27" t="s">
        <v>199</v>
      </c>
      <c r="G37" s="28" t="s">
        <v>200</v>
      </c>
      <c r="H37" s="29" t="str">
        <f>HYPERLINK("https://drive.google.com/file/d/1pG3JPAsHJIMFVf592r2h5jvvqBwb42WG/view?usp=drivesdk","Dr. Harish Prajapati -Programming for Problem Solving")</f>
        <v xml:space="preserve">Dr. Harish Prajapati -Programming for Problem Solving</v>
      </c>
      <c r="I37" s="30" t="s">
        <v>195</v>
      </c>
    </row>
    <row r="38" ht="25.5" customHeight="1">
      <c r="A38" s="22" t="s">
        <v>153</v>
      </c>
      <c r="B38" s="34" t="s">
        <v>201</v>
      </c>
      <c r="C38" s="31" t="s">
        <v>202</v>
      </c>
      <c r="D38" s="25" t="s">
        <v>203</v>
      </c>
      <c r="E38" s="32">
        <v>45933</v>
      </c>
      <c r="F38" s="27" t="s">
        <v>204</v>
      </c>
      <c r="G38" s="28" t="s">
        <v>205</v>
      </c>
      <c r="H38" s="29" t="str">
        <f>HYPERLINK("https://drive.google.com/file/d/1Le0NYFSPp8dOuLnpDkTrIekaU41fHQVN/view?usp=drivesdk","Dr. Sandeep Wadekar -Operating system ")</f>
        <v xml:space="preserve">Dr. Sandeep Wadekar -Operating system </v>
      </c>
      <c r="I38" s="30" t="s">
        <v>195</v>
      </c>
    </row>
    <row r="39" ht="25.5" customHeight="1">
      <c r="A39" s="22" t="s">
        <v>153</v>
      </c>
      <c r="B39" s="34" t="s">
        <v>206</v>
      </c>
      <c r="C39" s="31" t="s">
        <v>197</v>
      </c>
      <c r="D39" s="25" t="s">
        <v>207</v>
      </c>
      <c r="E39" s="32">
        <v>46123</v>
      </c>
      <c r="F39" s="27" t="s">
        <v>208</v>
      </c>
      <c r="G39" s="28" t="s">
        <v>209</v>
      </c>
      <c r="H39" s="29" t="str">
        <f>HYPERLINK("https://drive.google.com/file/d/1UGZaxVmJd_XB3ntsKnL-POnLp8c3eh3E/view?usp=drivesdk","Dr. Rohit-Programming for Problem Solving")</f>
        <v xml:space="preserve">Dr. Rohit-Programming for Problem Solving</v>
      </c>
      <c r="I39" s="30" t="s">
        <v>195</v>
      </c>
    </row>
    <row r="40" ht="25.5" customHeight="1">
      <c r="A40" s="22" t="s">
        <v>153</v>
      </c>
      <c r="B40" s="34" t="s">
        <v>210</v>
      </c>
      <c r="C40" s="31" t="s">
        <v>211</v>
      </c>
      <c r="D40" s="25" t="s">
        <v>212</v>
      </c>
      <c r="E40" s="32">
        <v>46129</v>
      </c>
      <c r="F40" s="27" t="s">
        <v>213</v>
      </c>
      <c r="G40" s="28" t="s">
        <v>214</v>
      </c>
      <c r="H40" s="29" t="str">
        <f>HYPERLINK("https://drive.google.com/file/d/1ePggrgAkAmjpULgXD8bKbQFmPoqfCzug/view?usp=drivesdk","Prof. Arnab Mandal-Foundational AWS Cloud Skills")</f>
        <v xml:space="preserve">Prof. Arnab Mandal-Foundational AWS Cloud Skills</v>
      </c>
      <c r="I40" s="30" t="s">
        <v>195</v>
      </c>
    </row>
    <row r="41" ht="25.5" customHeight="1">
      <c r="A41" s="22" t="s">
        <v>153</v>
      </c>
      <c r="B41" s="34" t="s">
        <v>215</v>
      </c>
      <c r="C41" s="31" t="s">
        <v>216</v>
      </c>
      <c r="D41" s="25" t="s">
        <v>217</v>
      </c>
      <c r="E41" s="32">
        <v>46125</v>
      </c>
      <c r="F41" s="27" t="s">
        <v>218</v>
      </c>
      <c r="G41" s="28" t="s">
        <v>219</v>
      </c>
      <c r="H41" s="29" t="str">
        <f>HYPERLINK("https://drive.google.com/file/d/18yADQQSA0MTxjBO4xzkb3GHDIc3aY2Tc/view?usp=drivesdk","Dr. Vikram Kaushik-Information and Network Security")</f>
        <v xml:space="preserve">Dr. Vikram Kaushik-Information and Network Security</v>
      </c>
      <c r="I41" s="30" t="s">
        <v>220</v>
      </c>
    </row>
    <row r="42" ht="25.5" customHeight="1">
      <c r="A42" s="22" t="s">
        <v>153</v>
      </c>
      <c r="B42" s="34" t="s">
        <v>221</v>
      </c>
      <c r="C42" s="31" t="s">
        <v>222</v>
      </c>
      <c r="D42" s="25" t="s">
        <v>223</v>
      </c>
      <c r="E42" s="32">
        <v>46129</v>
      </c>
      <c r="F42" s="27" t="s">
        <v>224</v>
      </c>
      <c r="G42" s="28" t="s">
        <v>225</v>
      </c>
      <c r="H42" s="29" t="str">
        <f>HYPERLINK("https://drive.google.com/file/d/1zTrS1gvSa8i85Bl_0XlVfwrmcUpN29Cx/view?usp=drivesdk","Dr. A. Nithya-MEARN Stack Web Development")</f>
        <v xml:space="preserve">Dr. A. Nithya-MEARN Stack Web Development</v>
      </c>
      <c r="I42" s="30" t="s">
        <v>220</v>
      </c>
    </row>
    <row r="43" ht="25.5" customHeight="1">
      <c r="A43" s="22" t="s">
        <v>153</v>
      </c>
      <c r="B43" s="34" t="s">
        <v>226</v>
      </c>
      <c r="C43" s="31" t="s">
        <v>227</v>
      </c>
      <c r="D43" s="25" t="s">
        <v>228</v>
      </c>
      <c r="E43" s="32">
        <v>46129</v>
      </c>
      <c r="F43" s="27" t="s">
        <v>229</v>
      </c>
      <c r="G43" s="28" t="s">
        <v>230</v>
      </c>
      <c r="H43" s="29" t="str">
        <f>HYPERLINK("https://drive.google.com/file/d/1Ve6OfxmDxoBUaRJWkuJNkCJCDECjvtXE/view?usp=drivesdk","Dr Farooqui Yassir Afsar Gazala-Enterprise Programming using Java")</f>
        <v xml:space="preserve">Dr Farooqui Yassir Afsar Gazala-Enterprise Programming using Java</v>
      </c>
      <c r="I43" s="30" t="s">
        <v>220</v>
      </c>
    </row>
    <row r="44" ht="25.5" customHeight="1">
      <c r="A44" s="22" t="s">
        <v>231</v>
      </c>
      <c r="B44" s="35" t="s">
        <v>232</v>
      </c>
      <c r="C44" s="36" t="s">
        <v>233</v>
      </c>
      <c r="D44" s="37" t="s">
        <v>234</v>
      </c>
      <c r="E44" s="38">
        <v>46045</v>
      </c>
      <c r="F44" s="39" t="s">
        <v>235</v>
      </c>
      <c r="G44" s="40" t="s">
        <v>236</v>
      </c>
      <c r="H44" s="41" t="str">
        <f>HYPERLINK("https://drive.google.com/file/d/1LN1-oYBc53fssG6j2Pdv2DdoSnUv_pLY/view?usp=drivesdk","Mr. S.G. Khokhar-Building Design and Drafting")</f>
        <v xml:space="preserve">Mr. S.G. Khokhar-Building Design and Drafting</v>
      </c>
      <c r="I44" s="42" t="s">
        <v>237</v>
      </c>
    </row>
    <row r="45" ht="25.5" customHeight="1">
      <c r="A45" s="22" t="s">
        <v>231</v>
      </c>
      <c r="B45" s="35" t="s">
        <v>238</v>
      </c>
      <c r="C45" s="36" t="s">
        <v>239</v>
      </c>
      <c r="D45" s="37" t="s">
        <v>240</v>
      </c>
      <c r="E45" s="38">
        <v>46045</v>
      </c>
      <c r="F45" s="39" t="s">
        <v>241</v>
      </c>
      <c r="G45" s="40" t="s">
        <v>242</v>
      </c>
      <c r="H45" s="41" t="str">
        <f>HYPERLINK("https://drive.google.com/file/d/134ay4Qe7VLnDjxPm0pYS81bHKoePlN4c/view?usp=drivesdk","Mr. Rajesh Gadhvi-Electronics Devices and Circuits")</f>
        <v xml:space="preserve">Mr. Rajesh Gadhvi-Electronics Devices and Circuits</v>
      </c>
      <c r="I45" s="42" t="s">
        <v>243</v>
      </c>
    </row>
    <row r="46" ht="25.5" customHeight="1">
      <c r="A46" s="43" t="s">
        <v>244</v>
      </c>
      <c r="B46" s="44" t="s">
        <v>245</v>
      </c>
      <c r="C46" s="45" t="s">
        <v>246</v>
      </c>
      <c r="D46" s="46" t="s">
        <v>247</v>
      </c>
      <c r="E46" s="47">
        <v>46099</v>
      </c>
      <c r="F46" s="48" t="s">
        <v>248</v>
      </c>
      <c r="G46" s="49" t="s">
        <v>249</v>
      </c>
      <c r="H46" s="50" t="str">
        <f>HYPERLINK("https://drive.google.com/file/d/1yzyE7qxLV3bvQz8z4npLKRU38WwAa1xK/view?usp=drivesdk","Mr. MITEN PANDYA-Fundamentals of Aviation")</f>
        <v xml:space="preserve">Mr. MITEN PANDYA-Fundamentals of Aviation</v>
      </c>
      <c r="I46" s="51" t="s">
        <v>250</v>
      </c>
    </row>
    <row r="47" ht="25.5" customHeight="1">
      <c r="A47" s="43" t="s">
        <v>244</v>
      </c>
      <c r="B47" s="52" t="s">
        <v>251</v>
      </c>
      <c r="C47" s="53" t="s">
        <v>252</v>
      </c>
      <c r="D47" s="46" t="s">
        <v>253</v>
      </c>
      <c r="E47" s="47">
        <v>46099</v>
      </c>
      <c r="F47" s="48" t="s">
        <v>254</v>
      </c>
      <c r="G47" s="49" t="s">
        <v>255</v>
      </c>
      <c r="H47" s="50" t="str">
        <f>HYPERLINK("https://drive.google.com/file/d/1960LS-JW3WPc0Vqh7uA5afmBoD37CAfR/view?usp=drivesdk","Mr. SAURABH AWASTHI-Principles of Food Production -I")</f>
        <v xml:space="preserve">Mr. SAURABH AWASTHI-Principles of Food Production -I</v>
      </c>
      <c r="I47" s="51" t="s">
        <v>250</v>
      </c>
    </row>
    <row r="48" ht="25.5" customHeight="1">
      <c r="A48" s="43" t="s">
        <v>244</v>
      </c>
      <c r="B48" s="52" t="s">
        <v>256</v>
      </c>
      <c r="C48" s="53" t="s">
        <v>257</v>
      </c>
      <c r="D48" s="46" t="s">
        <v>258</v>
      </c>
      <c r="E48" s="47">
        <v>46099</v>
      </c>
      <c r="F48" s="48" t="s">
        <v>259</v>
      </c>
      <c r="G48" s="49" t="s">
        <v>260</v>
      </c>
      <c r="H48" s="50" t="str">
        <f>HYPERLINK("https://drive.google.com/file/d/10ijkKGr2Bf9O72fmph3SkT7Pee4UNcCw/view?usp=drivesdk","Ms. TULIKA THAKUR-Introduction To Front Office")</f>
        <v xml:space="preserve">Ms. TULIKA THAKUR-Introduction To Front Office</v>
      </c>
      <c r="I48" s="51" t="s">
        <v>250</v>
      </c>
    </row>
    <row r="49" ht="25.5" customHeight="1">
      <c r="A49" s="43" t="s">
        <v>244</v>
      </c>
      <c r="B49" s="52" t="s">
        <v>256</v>
      </c>
      <c r="C49" s="53" t="s">
        <v>261</v>
      </c>
      <c r="D49" s="46" t="s">
        <v>262</v>
      </c>
      <c r="E49" s="47">
        <v>46099</v>
      </c>
      <c r="F49" s="48" t="s">
        <v>263</v>
      </c>
      <c r="G49" s="49" t="s">
        <v>264</v>
      </c>
      <c r="H49" s="50" t="str">
        <f>HYPERLINK("https://drive.google.com/file/d/1Ht-I2zwSe3Eu01lI4J1rKngj7xpHbd4H/view?usp=drivesdk","Ms. TULIKA THAKUR-Principles of Front Office")</f>
        <v xml:space="preserve">Ms. TULIKA THAKUR-Principles of Front Office</v>
      </c>
      <c r="I49" s="51" t="s">
        <v>265</v>
      </c>
    </row>
    <row r="50" ht="25.5" customHeight="1">
      <c r="A50" s="43" t="s">
        <v>244</v>
      </c>
      <c r="B50" s="52" t="s">
        <v>266</v>
      </c>
      <c r="C50" s="53" t="s">
        <v>267</v>
      </c>
      <c r="D50" s="46" t="s">
        <v>268</v>
      </c>
      <c r="E50" s="47">
        <v>46099</v>
      </c>
      <c r="F50" s="48" t="s">
        <v>269</v>
      </c>
      <c r="G50" s="49" t="s">
        <v>270</v>
      </c>
      <c r="H50" s="50" t="str">
        <f>HYPERLINK("https://drive.google.com/file/d/1aFSIfrtg-z6xdkiqoX1l1DH-v0hmpsRm/view?usp=drivesdk","Ms. PARUL CHAUHAN-Introduction to Accommodation Operation")</f>
        <v xml:space="preserve">Ms. PARUL CHAUHAN-Introduction to Accommodation Operation</v>
      </c>
      <c r="I50" s="51" t="s">
        <v>265</v>
      </c>
    </row>
    <row r="51" ht="25.5" customHeight="1">
      <c r="A51" s="43" t="s">
        <v>244</v>
      </c>
      <c r="B51" s="52" t="s">
        <v>266</v>
      </c>
      <c r="C51" s="53" t="s">
        <v>271</v>
      </c>
      <c r="D51" s="46" t="s">
        <v>272</v>
      </c>
      <c r="E51" s="47">
        <v>46099</v>
      </c>
      <c r="F51" s="48" t="s">
        <v>273</v>
      </c>
      <c r="G51" s="49" t="s">
        <v>274</v>
      </c>
      <c r="H51" s="50" t="str">
        <f>HYPERLINK("https://drive.google.com/file/d/1FeFgatpvovkkdMfkA-DNuMtWXIMOp5wx/view?usp=drivesdk","Ms. PARUL CHAUHAN-Basics of Accomodation Operation - I")</f>
        <v xml:space="preserve">Ms. PARUL CHAUHAN-Basics of Accomodation Operation - I</v>
      </c>
      <c r="I51" s="51" t="s">
        <v>265</v>
      </c>
    </row>
    <row r="52" ht="25.5" customHeight="1">
      <c r="A52" s="43" t="s">
        <v>244</v>
      </c>
      <c r="B52" s="54" t="s">
        <v>275</v>
      </c>
      <c r="C52" s="53" t="s">
        <v>276</v>
      </c>
      <c r="D52" s="46" t="s">
        <v>277</v>
      </c>
      <c r="E52" s="47">
        <v>46099</v>
      </c>
      <c r="F52" s="48" t="s">
        <v>278</v>
      </c>
      <c r="G52" s="49" t="s">
        <v>279</v>
      </c>
      <c r="H52" s="50" t="str">
        <f>HYPERLINK("https://drive.google.com/file/d/1zzyBJz_wgsLx9Dq7QuNmdSg_WFUElPFW/view?usp=drivesdk","DR. BINDU-Tourism In India and World")</f>
        <v xml:space="preserve">DR. BINDU-Tourism In India and World</v>
      </c>
      <c r="I52" s="51" t="s">
        <v>265</v>
      </c>
    </row>
    <row r="53" ht="25.5" customHeight="1">
      <c r="A53" s="43" t="s">
        <v>244</v>
      </c>
      <c r="B53" s="54" t="s">
        <v>275</v>
      </c>
      <c r="C53" s="53" t="s">
        <v>280</v>
      </c>
      <c r="D53" s="46" t="s">
        <v>281</v>
      </c>
      <c r="E53" s="47">
        <v>46099</v>
      </c>
      <c r="F53" s="48" t="s">
        <v>282</v>
      </c>
      <c r="G53" s="49" t="s">
        <v>283</v>
      </c>
      <c r="H53" s="50" t="str">
        <f>HYPERLINK("https://drive.google.com/file/d/1pwQ_6VYDLFhgHIF7IV77ZSwFPmvUjysV/view?usp=drivesdk","DR. BINDU-Principles of Travel &amp; Tourism")</f>
        <v xml:space="preserve">DR. BINDU-Principles of Travel &amp; Tourism</v>
      </c>
      <c r="I53" s="51" t="s">
        <v>265</v>
      </c>
    </row>
    <row r="54" ht="25.5" customHeight="1">
      <c r="A54" s="43" t="s">
        <v>244</v>
      </c>
      <c r="B54" s="52" t="s">
        <v>284</v>
      </c>
      <c r="C54" s="53" t="s">
        <v>285</v>
      </c>
      <c r="D54" s="46" t="s">
        <v>286</v>
      </c>
      <c r="E54" s="47">
        <v>46099</v>
      </c>
      <c r="F54" s="48" t="s">
        <v>287</v>
      </c>
      <c r="G54" s="49" t="s">
        <v>288</v>
      </c>
      <c r="H54" s="50" t="str">
        <f>HYPERLINK("https://drive.google.com/file/d/1FaYRAegO1XybUQbMQQKvCUF6i3FfjcLB/view?usp=drivesdk","Mr. NEERAJ KATYAL-Front Office Operations (THEORY)")</f>
        <v xml:space="preserve">Mr. NEERAJ KATYAL-Front Office Operations (THEORY)</v>
      </c>
      <c r="I54" s="51" t="s">
        <v>265</v>
      </c>
    </row>
    <row r="55" ht="25.5" customHeight="1">
      <c r="A55" s="43" t="s">
        <v>244</v>
      </c>
      <c r="B55" s="52" t="s">
        <v>284</v>
      </c>
      <c r="C55" s="53" t="s">
        <v>289</v>
      </c>
      <c r="D55" s="46" t="s">
        <v>290</v>
      </c>
      <c r="E55" s="47">
        <v>46099</v>
      </c>
      <c r="F55" s="48" t="s">
        <v>291</v>
      </c>
      <c r="G55" s="49" t="s">
        <v>292</v>
      </c>
      <c r="H55" s="50" t="str">
        <f>HYPERLINK("https://drive.google.com/file/d/1-Dz3Jbqtc1Bq164j1WmraehTEZB0_cw0/view?usp=drivesdk","Mr. NEERAJ KATYAL-Introduction to Inflight catering")</f>
        <v xml:space="preserve">Mr. NEERAJ KATYAL-Introduction to Inflight catering</v>
      </c>
      <c r="I55" s="51" t="s">
        <v>265</v>
      </c>
    </row>
    <row r="56" ht="25.5" customHeight="1">
      <c r="A56" s="43" t="s">
        <v>244</v>
      </c>
      <c r="B56" s="52" t="s">
        <v>251</v>
      </c>
      <c r="C56" s="53" t="s">
        <v>293</v>
      </c>
      <c r="D56" s="46" t="s">
        <v>294</v>
      </c>
      <c r="E56" s="47">
        <v>46099</v>
      </c>
      <c r="F56" s="48" t="s">
        <v>295</v>
      </c>
      <c r="G56" s="49" t="s">
        <v>296</v>
      </c>
      <c r="H56" s="50" t="str">
        <f>HYPERLINK("https://drive.google.com/file/d/1x_dSj-a7JABsxkAb1HtYHtZDkt6L3D7A/view?usp=drivesdk","Mr. SAURABH AWASTHI-Food Production Functions-I")</f>
        <v xml:space="preserve">Mr. SAURABH AWASTHI-Food Production Functions-I</v>
      </c>
      <c r="I56" s="51" t="s">
        <v>297</v>
      </c>
    </row>
    <row r="57" ht="25.5" customHeight="1">
      <c r="A57" s="43" t="s">
        <v>244</v>
      </c>
      <c r="B57" s="52" t="s">
        <v>298</v>
      </c>
      <c r="C57" s="53" t="s">
        <v>299</v>
      </c>
      <c r="D57" s="46" t="s">
        <v>300</v>
      </c>
      <c r="E57" s="47">
        <v>46099</v>
      </c>
      <c r="F57" s="48" t="s">
        <v>301</v>
      </c>
      <c r="G57" s="49" t="s">
        <v>302</v>
      </c>
      <c r="H57" s="50" t="str">
        <f>HYPERLINK("https://drive.google.com/file/d/1pvT1U091GHU_ntfdxo2YfpsMxK776aZq/view?usp=drivesdk","Mr. ARPIT SAMNANI-Food Production Operations")</f>
        <v xml:space="preserve">Mr. ARPIT SAMNANI-Food Production Operations</v>
      </c>
      <c r="I57" s="51" t="s">
        <v>297</v>
      </c>
    </row>
    <row r="58" ht="25.5" customHeight="1">
      <c r="A58" s="43" t="s">
        <v>244</v>
      </c>
      <c r="B58" s="52" t="s">
        <v>303</v>
      </c>
      <c r="C58" s="53" t="s">
        <v>304</v>
      </c>
      <c r="D58" s="46" t="s">
        <v>305</v>
      </c>
      <c r="E58" s="47">
        <v>46099</v>
      </c>
      <c r="F58" s="48" t="s">
        <v>306</v>
      </c>
      <c r="G58" s="49" t="s">
        <v>307</v>
      </c>
      <c r="H58" s="50" t="str">
        <f>HYPERLINK("https://drive.google.com/file/d/1kfBx9Ldte_ASPPrrv42s7UA1c5kW1xsJ/view?usp=drivesdk","Ms. MINAKSHI MESHRAM-Personality development and grooming")</f>
        <v xml:space="preserve">Ms. MINAKSHI MESHRAM-Personality development and grooming</v>
      </c>
      <c r="I58" s="51" t="s">
        <v>297</v>
      </c>
    </row>
    <row r="59" ht="25.5" customHeight="1">
      <c r="A59" s="43" t="s">
        <v>244</v>
      </c>
      <c r="B59" s="54" t="s">
        <v>308</v>
      </c>
      <c r="C59" s="53" t="s">
        <v>309</v>
      </c>
      <c r="D59" s="46" t="s">
        <v>310</v>
      </c>
      <c r="E59" s="47">
        <v>46099</v>
      </c>
      <c r="F59" s="48" t="s">
        <v>311</v>
      </c>
      <c r="G59" s="49" t="s">
        <v>312</v>
      </c>
      <c r="H59" s="50" t="str">
        <f>HYPERLINK("https://drive.google.com/file/d/1oKOeID3ZYoMVZGgvOi6wHc12vSCPmNl7/view?usp=drivesdk","MK MURUGESH-Foundation in Food &amp; Beverage Production II")</f>
        <v xml:space="preserve">MK MURUGESH-Foundation in Food &amp; Beverage Production II</v>
      </c>
      <c r="I59" s="51" t="s">
        <v>297</v>
      </c>
    </row>
    <row r="60" ht="25.5" customHeight="1">
      <c r="A60" s="43" t="s">
        <v>244</v>
      </c>
      <c r="B60" s="52" t="s">
        <v>313</v>
      </c>
      <c r="C60" s="53" t="s">
        <v>314</v>
      </c>
      <c r="D60" s="46" t="s">
        <v>315</v>
      </c>
      <c r="E60" s="47">
        <v>46099</v>
      </c>
      <c r="F60" s="48" t="s">
        <v>316</v>
      </c>
      <c r="G60" s="49" t="s">
        <v>317</v>
      </c>
      <c r="H60" s="50" t="str">
        <f>HYPERLINK("https://drive.google.com/file/d/11KOY_rXL6gJbvVrOd4NTNDAiFBBHv26t/view?usp=drivesdk","Mr. KAPIL MEHTA-Foundation in Food &amp; Beverage Service II")</f>
        <v xml:space="preserve">Mr. KAPIL MEHTA-Foundation in Food &amp; Beverage Service II</v>
      </c>
      <c r="I60" s="51" t="s">
        <v>297</v>
      </c>
    </row>
    <row r="61" ht="25.5" customHeight="1">
      <c r="A61" s="43" t="s">
        <v>244</v>
      </c>
      <c r="B61" s="52" t="s">
        <v>318</v>
      </c>
      <c r="C61" s="53" t="s">
        <v>319</v>
      </c>
      <c r="D61" s="46" t="s">
        <v>320</v>
      </c>
      <c r="E61" s="47">
        <v>46099</v>
      </c>
      <c r="F61" s="48" t="s">
        <v>321</v>
      </c>
      <c r="G61" s="49" t="s">
        <v>322</v>
      </c>
      <c r="H61" s="50" t="str">
        <f>HYPERLINK("https://drive.google.com/file/d/1ZyF-ej9wWMQjBWfY900uHIbeIX9DsBpS/view?usp=drivesdk","Mr. TIRTHANK RINDANI-Front Office Operation-II")</f>
        <v xml:space="preserve">Mr. TIRTHANK RINDANI-Front Office Operation-II</v>
      </c>
      <c r="I61" s="51" t="s">
        <v>297</v>
      </c>
    </row>
    <row r="62" ht="25.5" customHeight="1">
      <c r="A62" s="43" t="s">
        <v>244</v>
      </c>
      <c r="B62" s="54" t="s">
        <v>323</v>
      </c>
      <c r="C62" s="53" t="s">
        <v>324</v>
      </c>
      <c r="D62" s="46" t="s">
        <v>325</v>
      </c>
      <c r="E62" s="47">
        <v>46099</v>
      </c>
      <c r="F62" s="48" t="s">
        <v>326</v>
      </c>
      <c r="G62" s="49" t="s">
        <v>327</v>
      </c>
      <c r="H62" s="50" t="str">
        <f>HYPERLINK("https://drive.google.com/file/d/1pivobEhhoi_nDfWgz14g-tMF7xHEYA0Y/view?usp=drivesdk","Mr. UDAIDIP CHAUHAN-Sales And Marketing")</f>
        <v xml:space="preserve">Mr. UDAIDIP CHAUHAN-Sales And Marketing</v>
      </c>
      <c r="I62" s="51" t="s">
        <v>297</v>
      </c>
    </row>
    <row r="63" ht="25.5" customHeight="1">
      <c r="A63" s="55" t="s">
        <v>328</v>
      </c>
      <c r="B63" s="56" t="s">
        <v>329</v>
      </c>
      <c r="C63" s="57" t="s">
        <v>330</v>
      </c>
      <c r="D63" s="58" t="s">
        <v>331</v>
      </c>
      <c r="E63" s="59">
        <v>46041</v>
      </c>
      <c r="F63" s="60" t="s">
        <v>332</v>
      </c>
      <c r="G63" s="61" t="s">
        <v>333</v>
      </c>
      <c r="H63" s="62" t="str">
        <f>HYPERLINK("https://drive.google.com/file/d/1iZNuaH0yb3Pgi4MeHzRV9kD7MMKpWQEW/view?usp=drivesdk","Ms.Pallavi Singh-Law of Torts including Motor Vehicle Act")</f>
        <v xml:space="preserve">Ms.Pallavi Singh-Law of Torts including Motor Vehicle Act</v>
      </c>
      <c r="I63" s="63" t="s">
        <v>334</v>
      </c>
    </row>
    <row r="64" ht="25.5" customHeight="1">
      <c r="A64" s="55" t="s">
        <v>328</v>
      </c>
      <c r="B64" s="56" t="s">
        <v>335</v>
      </c>
      <c r="C64" s="57" t="s">
        <v>336</v>
      </c>
      <c r="D64" s="58" t="s">
        <v>337</v>
      </c>
      <c r="E64" s="59">
        <v>46041</v>
      </c>
      <c r="F64" s="60" t="s">
        <v>338</v>
      </c>
      <c r="G64" s="61" t="s">
        <v>339</v>
      </c>
      <c r="H64" s="62" t="str">
        <f>HYPERLINK("https://drive.google.com/file/d/1kECdeAzTMsu8izBfdwJ3Im2u-WHLBHEI/view?usp=drivesdk","Ms.Anubha Nair-Contract – I: General Contracts")</f>
        <v xml:space="preserve">Ms.Anubha Nair-Contract – I: General Contracts</v>
      </c>
      <c r="I64" s="63" t="s">
        <v>334</v>
      </c>
    </row>
    <row r="65" ht="25.5" customHeight="1">
      <c r="A65" s="55" t="s">
        <v>328</v>
      </c>
      <c r="B65" s="56" t="s">
        <v>340</v>
      </c>
      <c r="C65" s="57" t="s">
        <v>341</v>
      </c>
      <c r="D65" s="58" t="s">
        <v>342</v>
      </c>
      <c r="E65" s="59">
        <v>46041</v>
      </c>
      <c r="F65" s="60" t="s">
        <v>343</v>
      </c>
      <c r="G65" s="61" t="s">
        <v>344</v>
      </c>
      <c r="H65" s="62" t="str">
        <f>HYPERLINK("https://drive.google.com/file/d/1tKb_ZHRbblcRNdQvHgAvJo2A1iO6tz-d/view?usp=drivesdk","Ms Aditi Patel-Introduction to Economics")</f>
        <v xml:space="preserve">Ms Aditi Patel-Introduction to Economics</v>
      </c>
      <c r="I65" s="63" t="s">
        <v>345</v>
      </c>
    </row>
    <row r="66" ht="25.5" customHeight="1">
      <c r="A66" s="55" t="s">
        <v>328</v>
      </c>
      <c r="B66" s="56" t="s">
        <v>346</v>
      </c>
      <c r="C66" s="57" t="s">
        <v>347</v>
      </c>
      <c r="D66" s="58" t="s">
        <v>348</v>
      </c>
      <c r="E66" s="59">
        <v>46041</v>
      </c>
      <c r="F66" s="60" t="s">
        <v>349</v>
      </c>
      <c r="G66" s="61" t="s">
        <v>350</v>
      </c>
      <c r="H66" s="62" t="str">
        <f>HYPERLINK("https://drive.google.com/file/d/1d6or0qvRhfI6gH_j581DLTO7u6jjFebB/view?usp=drivesdk","Ms. Sreelakshmi-English Language and Communication - I")</f>
        <v xml:space="preserve">Ms. Sreelakshmi-English Language and Communication - I</v>
      </c>
      <c r="I66" s="63" t="s">
        <v>345</v>
      </c>
    </row>
    <row r="67" ht="25.5" customHeight="1">
      <c r="A67" s="55" t="s">
        <v>328</v>
      </c>
      <c r="B67" s="56" t="s">
        <v>351</v>
      </c>
      <c r="C67" s="57" t="s">
        <v>352</v>
      </c>
      <c r="D67" s="58" t="s">
        <v>353</v>
      </c>
      <c r="E67" s="59">
        <v>46041</v>
      </c>
      <c r="F67" s="60" t="s">
        <v>354</v>
      </c>
      <c r="G67" s="61" t="s">
        <v>355</v>
      </c>
      <c r="H67" s="62" t="str">
        <f>HYPERLINK("https://drive.google.com/file/d/1B7D9QqbxjY-vsc5n_zWti8Hc8czXVEQ5/view?usp=drivesdk","Dr.Subair Kalathil-Introduction to Sociology")</f>
        <v xml:space="preserve">Dr.Subair Kalathil-Introduction to Sociology</v>
      </c>
      <c r="I67" s="63" t="s">
        <v>345</v>
      </c>
    </row>
    <row r="68" ht="25.5" customHeight="1">
      <c r="A68" s="55" t="s">
        <v>328</v>
      </c>
      <c r="B68" s="56" t="s">
        <v>356</v>
      </c>
      <c r="C68" s="57" t="s">
        <v>357</v>
      </c>
      <c r="D68" s="58" t="s">
        <v>358</v>
      </c>
      <c r="E68" s="59">
        <v>46041</v>
      </c>
      <c r="F68" s="60" t="s">
        <v>359</v>
      </c>
      <c r="G68" s="61" t="s">
        <v>360</v>
      </c>
      <c r="H68" s="62" t="str">
        <f>HYPERLINK("https://drive.google.com/file/d/1AGZJrrc6m1vkdYhCLTgM0YslqumCRLkw/view?usp=drivesdk","Dr.Pritesh Panchal-Fundamental of Accounting")</f>
        <v xml:space="preserve">Dr.Pritesh Panchal-Fundamental of Accounting</v>
      </c>
      <c r="I68" s="63" t="s">
        <v>345</v>
      </c>
    </row>
    <row r="69" ht="25.5" customHeight="1">
      <c r="A69" s="55" t="s">
        <v>328</v>
      </c>
      <c r="B69" s="56" t="s">
        <v>361</v>
      </c>
      <c r="C69" s="57" t="s">
        <v>362</v>
      </c>
      <c r="D69" s="58" t="s">
        <v>363</v>
      </c>
      <c r="E69" s="59">
        <v>46041</v>
      </c>
      <c r="F69" s="60" t="s">
        <v>364</v>
      </c>
      <c r="G69" s="61" t="s">
        <v>365</v>
      </c>
      <c r="H69" s="62" t="str">
        <f>HYPERLINK("https://drive.google.com/file/d/1HZSGJWRVVRCzbc90Tp9nSUgWyIdjLOZ3/view?usp=drivesdk","Dr.Dhaval Zala-Principles of Management")</f>
        <v xml:space="preserve">Dr.Dhaval Zala-Principles of Management</v>
      </c>
      <c r="I69" s="63" t="s">
        <v>345</v>
      </c>
    </row>
    <row r="70" ht="25.5" customHeight="1">
      <c r="A70" s="55" t="s">
        <v>328</v>
      </c>
      <c r="B70" s="56" t="s">
        <v>366</v>
      </c>
      <c r="C70" s="57" t="s">
        <v>367</v>
      </c>
      <c r="D70" s="58" t="s">
        <v>368</v>
      </c>
      <c r="E70" s="59">
        <v>46041</v>
      </c>
      <c r="F70" s="60" t="s">
        <v>369</v>
      </c>
      <c r="G70" s="61" t="s">
        <v>370</v>
      </c>
      <c r="H70" s="62" t="str">
        <f>HYPERLINK("https://drive.google.com/file/d/1BPnfFSInEdrfPaVA8EHVibhTeBPM_I9b/view?usp=drivesdk","Mr. Ganesh Ji-Constitution-I")</f>
        <v xml:space="preserve">Mr. Ganesh Ji-Constitution-I</v>
      </c>
      <c r="I70" s="63" t="s">
        <v>345</v>
      </c>
    </row>
    <row r="71" ht="25.5" customHeight="1">
      <c r="A71" s="55" t="s">
        <v>328</v>
      </c>
      <c r="B71" s="56" t="s">
        <v>371</v>
      </c>
      <c r="C71" s="57" t="s">
        <v>372</v>
      </c>
      <c r="D71" s="58" t="s">
        <v>373</v>
      </c>
      <c r="E71" s="59">
        <v>46041</v>
      </c>
      <c r="F71" s="60" t="s">
        <v>374</v>
      </c>
      <c r="G71" s="61" t="s">
        <v>375</v>
      </c>
      <c r="H71" s="62" t="str">
        <f>HYPERLINK("https://drive.google.com/file/d/1Ur0HrN52g2QXsaUtfaTCUqkniv8bsVoA/view?usp=drivesdk","Dr.Ruchi Tiwari-Contract -I: General Contracts")</f>
        <v xml:space="preserve">Dr.Ruchi Tiwari-Contract -I: General Contracts</v>
      </c>
      <c r="I71" s="63" t="s">
        <v>376</v>
      </c>
    </row>
    <row r="72" ht="25.5" customHeight="1">
      <c r="A72" s="55" t="s">
        <v>328</v>
      </c>
      <c r="B72" s="56" t="s">
        <v>377</v>
      </c>
      <c r="C72" s="57" t="s">
        <v>378</v>
      </c>
      <c r="D72" s="58" t="s">
        <v>379</v>
      </c>
      <c r="E72" s="59">
        <v>46041</v>
      </c>
      <c r="F72" s="60" t="s">
        <v>380</v>
      </c>
      <c r="G72" s="61" t="s">
        <v>381</v>
      </c>
      <c r="H72" s="62" t="str">
        <f>HYPERLINK("https://drive.google.com/file/d/1Z_tjxZxHb3ixmLGCKtUzDryB9T0GLGRJ/view?usp=drivesdk","Dr.Tanu Bharadwaj-Contract -II: Special Contracts")</f>
        <v xml:space="preserve">Dr.Tanu Bharadwaj-Contract -II: Special Contracts</v>
      </c>
      <c r="I72" s="63" t="s">
        <v>376</v>
      </c>
    </row>
    <row r="73" ht="25.5" customHeight="1">
      <c r="A73" s="55" t="s">
        <v>328</v>
      </c>
      <c r="B73" s="56" t="s">
        <v>382</v>
      </c>
      <c r="C73" s="57" t="s">
        <v>367</v>
      </c>
      <c r="D73" s="58" t="s">
        <v>383</v>
      </c>
      <c r="E73" s="59">
        <v>46041</v>
      </c>
      <c r="F73" s="60" t="s">
        <v>384</v>
      </c>
      <c r="G73" s="61" t="s">
        <v>385</v>
      </c>
      <c r="H73" s="62" t="str">
        <f>HYPERLINK("https://drive.google.com/file/d/1NjFoYHr8MhpwqVHIfwMvmBm_-VFAXR8H/view?usp=drivesdk","Dr.Rajesh Singh-Constitution-I")</f>
        <v xml:space="preserve">Dr.Rajesh Singh-Constitution-I</v>
      </c>
      <c r="I73" s="63" t="s">
        <v>376</v>
      </c>
    </row>
    <row r="74" ht="25.5" customHeight="1">
      <c r="A74" s="55" t="s">
        <v>328</v>
      </c>
      <c r="B74" s="56" t="s">
        <v>386</v>
      </c>
      <c r="C74" s="57" t="s">
        <v>387</v>
      </c>
      <c r="D74" s="58" t="s">
        <v>388</v>
      </c>
      <c r="E74" s="59">
        <v>46041</v>
      </c>
      <c r="F74" s="60" t="s">
        <v>389</v>
      </c>
      <c r="G74" s="61" t="s">
        <v>390</v>
      </c>
      <c r="H74" s="62" t="str">
        <f>HYPERLINK("https://drive.google.com/file/d/1Ofm2T21gR52Lk3JW2X60gnuQvlqDaUlS/view?usp=drivesdk","Ms. Vibhuti Shrivastava-Legal Language")</f>
        <v xml:space="preserve">Ms. Vibhuti Shrivastava-Legal Language</v>
      </c>
      <c r="I74" s="63" t="s">
        <v>376</v>
      </c>
    </row>
    <row r="75" ht="25.5" customHeight="1">
      <c r="A75" s="55" t="s">
        <v>328</v>
      </c>
      <c r="B75" s="56" t="s">
        <v>391</v>
      </c>
      <c r="C75" s="57" t="s">
        <v>330</v>
      </c>
      <c r="D75" s="58" t="s">
        <v>392</v>
      </c>
      <c r="E75" s="59">
        <v>46041</v>
      </c>
      <c r="F75" s="60" t="s">
        <v>393</v>
      </c>
      <c r="G75" s="61" t="s">
        <v>394</v>
      </c>
      <c r="H75" s="62" t="str">
        <f>HYPERLINK("https://drive.google.com/file/d/1yVWEdwYKHFWXlq9fo8HMIr1iVNDeZAVq/view?usp=drivesdk","Ms.Dixita Suthar-Law of Torts including Motor Vehicle Act")</f>
        <v xml:space="preserve">Ms.Dixita Suthar-Law of Torts including Motor Vehicle Act</v>
      </c>
      <c r="I75" s="63" t="s">
        <v>376</v>
      </c>
    </row>
    <row r="76" ht="25.5" customHeight="1">
      <c r="A76" s="55" t="s">
        <v>328</v>
      </c>
      <c r="B76" s="64" t="s">
        <v>395</v>
      </c>
      <c r="C76" s="57" t="s">
        <v>396</v>
      </c>
      <c r="D76" s="58" t="s">
        <v>397</v>
      </c>
      <c r="E76" s="59">
        <v>46041</v>
      </c>
      <c r="F76" s="60" t="s">
        <v>398</v>
      </c>
      <c r="G76" s="61" t="s">
        <v>399</v>
      </c>
      <c r="H76" s="62" t="str">
        <f>HYPERLINK("https://drive.google.com/file/d/1zsJOyb2Rhm7Bn5fAAgXKIGbr1r8sPhPy/view?usp=drivesdk","Mr.Parth Trivedi-Law of Crimes I : Bharatiya Nyaya Sanhita")</f>
        <v xml:space="preserve">Mr.Parth Trivedi-Law of Crimes I : Bharatiya Nyaya Sanhita</v>
      </c>
      <c r="I76" s="63" t="s">
        <v>376</v>
      </c>
    </row>
    <row r="77" ht="25.5" customHeight="1">
      <c r="A77" s="55" t="s">
        <v>328</v>
      </c>
      <c r="B77" s="56" t="s">
        <v>400</v>
      </c>
      <c r="C77" s="57" t="s">
        <v>401</v>
      </c>
      <c r="D77" s="58" t="s">
        <v>402</v>
      </c>
      <c r="E77" s="59">
        <v>46041</v>
      </c>
      <c r="F77" s="60" t="s">
        <v>403</v>
      </c>
      <c r="G77" s="61" t="s">
        <v>404</v>
      </c>
      <c r="H77" s="62" t="str">
        <f>HYPERLINK("https://drive.google.com/file/d/1Mn4c3wRr-HSmwgfSKwFXqWy0FcFcToIU/view?usp=drivesdk","Ms.Samta Kathuria-Constitutional Law -II")</f>
        <v xml:space="preserve">Ms.Samta Kathuria-Constitutional Law -II</v>
      </c>
      <c r="I77" s="63" t="s">
        <v>405</v>
      </c>
    </row>
    <row r="78" ht="25.5" customHeight="1">
      <c r="A78" s="55" t="s">
        <v>328</v>
      </c>
      <c r="B78" s="56" t="s">
        <v>406</v>
      </c>
      <c r="C78" s="57" t="s">
        <v>407</v>
      </c>
      <c r="D78" s="58" t="s">
        <v>408</v>
      </c>
      <c r="E78" s="59">
        <v>46041</v>
      </c>
      <c r="F78" s="60" t="s">
        <v>409</v>
      </c>
      <c r="G78" s="61" t="s">
        <v>410</v>
      </c>
      <c r="H78" s="62" t="str">
        <f>HYPERLINK("https://drive.google.com/file/d/1_6WJC_DoSx8--JhZJAXYsWIz93n8XyNG/view?usp=drivesdk","Ms.Priya Nair-Property Law and Easement")</f>
        <v xml:space="preserve">Ms.Priya Nair-Property Law and Easement</v>
      </c>
      <c r="I78" s="63" t="s">
        <v>405</v>
      </c>
    </row>
    <row r="79" ht="25.5" customHeight="1">
      <c r="A79" s="55" t="s">
        <v>328</v>
      </c>
      <c r="B79" s="56" t="s">
        <v>411</v>
      </c>
      <c r="C79" s="57" t="s">
        <v>412</v>
      </c>
      <c r="D79" s="58" t="s">
        <v>413</v>
      </c>
      <c r="E79" s="59">
        <v>46041</v>
      </c>
      <c r="F79" s="60" t="s">
        <v>414</v>
      </c>
      <c r="G79" s="61" t="s">
        <v>415</v>
      </c>
      <c r="H79" s="62" t="str">
        <f>HYPERLINK("https://drive.google.com/file/d/1fSYC7owYtxSQE-xFd3C8rirCTb4T9PvZ/view?usp=drivesdk","Ms.Aayushi Arora-Administrative Law including RTI")</f>
        <v xml:space="preserve">Ms.Aayushi Arora-Administrative Law including RTI</v>
      </c>
      <c r="I79" s="63" t="s">
        <v>405</v>
      </c>
    </row>
    <row r="80" ht="25.5" customHeight="1">
      <c r="A80" s="55" t="s">
        <v>328</v>
      </c>
      <c r="B80" s="56" t="s">
        <v>416</v>
      </c>
      <c r="C80" s="57" t="s">
        <v>417</v>
      </c>
      <c r="D80" s="58" t="s">
        <v>418</v>
      </c>
      <c r="E80" s="59">
        <v>46041</v>
      </c>
      <c r="F80" s="60" t="s">
        <v>419</v>
      </c>
      <c r="G80" s="61" t="s">
        <v>420</v>
      </c>
      <c r="H80" s="62" t="str">
        <f>HYPERLINK("https://drive.google.com/file/d/19C90fz0HciC1zXLXJL2aMLbMyew0emr0/view?usp=drivesdk","Ms. Mahima Jacob-Environmental Law")</f>
        <v xml:space="preserve">Ms. Mahima Jacob-Environmental Law</v>
      </c>
      <c r="I80" s="63" t="s">
        <v>405</v>
      </c>
    </row>
    <row r="81" ht="25.5" customHeight="1">
      <c r="A81" s="65" t="s">
        <v>421</v>
      </c>
      <c r="B81" s="66" t="s">
        <v>422</v>
      </c>
      <c r="C81" s="67" t="s">
        <v>423</v>
      </c>
      <c r="D81" s="68" t="s">
        <v>424</v>
      </c>
      <c r="E81" s="69">
        <v>46102</v>
      </c>
      <c r="F81" s="70" t="s">
        <v>425</v>
      </c>
      <c r="G81" s="71" t="s">
        <v>426</v>
      </c>
      <c r="H81" s="72" t="str">
        <f>HYPERLINK("https://drive.google.com/file/d/1eDqEm6JxLOK1m569fDZvOJS4s_TbzhZi/view?usp=drivesdk","Dr. Unnati Soni-Urban Community Development")</f>
        <v xml:space="preserve">Dr. Unnati Soni-Urban Community Development</v>
      </c>
      <c r="I81" s="73" t="s">
        <v>427</v>
      </c>
    </row>
    <row r="82" ht="25.5" customHeight="1">
      <c r="A82" s="65" t="s">
        <v>421</v>
      </c>
      <c r="B82" s="66" t="s">
        <v>428</v>
      </c>
      <c r="C82" s="67" t="s">
        <v>429</v>
      </c>
      <c r="D82" s="68" t="s">
        <v>430</v>
      </c>
      <c r="E82" s="69">
        <v>46102</v>
      </c>
      <c r="F82" s="70" t="s">
        <v>431</v>
      </c>
      <c r="G82" s="71" t="s">
        <v>432</v>
      </c>
      <c r="H82" s="72" t="str">
        <f>HYPERLINK("https://drive.google.com/file/d/1y5D7znTorGoHhS3q7FGd4zaoB_XrncXE/view?usp=drivesdk","Ms. Shruti Bhonsle-Introduction to Community Organisation and Social Action")</f>
        <v xml:space="preserve">Ms. Shruti Bhonsle-Introduction to Community Organisation and Social Action</v>
      </c>
      <c r="I82" s="73" t="s">
        <v>427</v>
      </c>
    </row>
    <row r="83" ht="25.5" customHeight="1">
      <c r="A83" s="65" t="s">
        <v>421</v>
      </c>
      <c r="B83" s="66" t="s">
        <v>428</v>
      </c>
      <c r="C83" s="74" t="s">
        <v>433</v>
      </c>
      <c r="D83" s="68" t="s">
        <v>434</v>
      </c>
      <c r="E83" s="69">
        <v>46052</v>
      </c>
      <c r="F83" s="70" t="s">
        <v>435</v>
      </c>
      <c r="G83" s="71" t="s">
        <v>436</v>
      </c>
      <c r="H83" s="72" t="str">
        <f>HYPERLINK("https://drive.google.com/file/d/1vu-7wCHTpQgizhBeq4hTLv5BOZH7Uhom/view?usp=drivesdk","Ms. Shruti Bhonsle-Social Group Work")</f>
        <v xml:space="preserve">Ms. Shruti Bhonsle-Social Group Work</v>
      </c>
      <c r="I83" s="73" t="s">
        <v>427</v>
      </c>
    </row>
    <row r="84" ht="25.5" customHeight="1">
      <c r="A84" s="65" t="s">
        <v>421</v>
      </c>
      <c r="B84" s="75" t="s">
        <v>437</v>
      </c>
      <c r="C84" s="76" t="s">
        <v>438</v>
      </c>
      <c r="D84" s="77" t="s">
        <v>439</v>
      </c>
      <c r="E84" s="69">
        <v>46139</v>
      </c>
      <c r="F84" s="70" t="s">
        <v>440</v>
      </c>
      <c r="G84" s="71" t="s">
        <v>441</v>
      </c>
      <c r="H84" s="72" t="str">
        <f>HYPERLINK("https://drive.google.com/file/d/15P97fWMDjJArwqvONZ84QoIPjoovl3Kp/view?usp=drivesdk","Dr. Christina Parmar-Rehabilitation and After Care Services")</f>
        <v xml:space="preserve">Dr. Christina Parmar-Rehabilitation and After Care Services</v>
      </c>
      <c r="I84" s="73" t="s">
        <v>442</v>
      </c>
    </row>
    <row r="85" ht="25.5" customHeight="1">
      <c r="A85" s="65" t="s">
        <v>421</v>
      </c>
      <c r="B85" s="78" t="s">
        <v>443</v>
      </c>
      <c r="C85" s="78" t="s">
        <v>444</v>
      </c>
      <c r="D85" s="79" t="s">
        <v>445</v>
      </c>
      <c r="E85" s="69">
        <v>46139</v>
      </c>
      <c r="F85" s="70" t="s">
        <v>446</v>
      </c>
      <c r="G85" s="71" t="s">
        <v>447</v>
      </c>
      <c r="H85" s="72" t="str">
        <f>HYPERLINK("https://drive.google.com/file/d/1EVgIH1QJS58z0DrTedMA9TxOTY4n9Q8X/view?usp=drivesdk","Mr. Bhaveshbhai Jadav-Rural and Tribal Community Development")</f>
        <v xml:space="preserve">Mr. Bhaveshbhai Jadav-Rural and Tribal Community Development</v>
      </c>
      <c r="I85" s="73" t="s">
        <v>448</v>
      </c>
    </row>
    <row r="86" ht="25.5" customHeight="1">
      <c r="A86" s="5" t="s">
        <v>449</v>
      </c>
      <c r="B86" s="80" t="s">
        <v>450</v>
      </c>
      <c r="C86" s="81" t="s">
        <v>451</v>
      </c>
      <c r="D86" s="82" t="s">
        <v>452</v>
      </c>
      <c r="E86" s="83">
        <v>46086</v>
      </c>
      <c r="F86" s="84" t="s">
        <v>453</v>
      </c>
      <c r="G86" s="85" t="s">
        <v>454</v>
      </c>
      <c r="H86" s="86" t="str">
        <f>HYPERLINK("https://drive.google.com/file/d/1mZOZt7WvduwNe9NNP1BfOw0tr2QcOVNB/view?usp=drivesdk","Mr. Dushyant sharma-Introduction to Petroleum Geology")</f>
        <v xml:space="preserve">Mr. Dushyant sharma-Introduction to Petroleum Geology</v>
      </c>
      <c r="I86" s="87" t="s">
        <v>455</v>
      </c>
    </row>
    <row r="87" ht="25.5" customHeight="1">
      <c r="A87" s="5" t="s">
        <v>449</v>
      </c>
      <c r="B87" s="80" t="s">
        <v>456</v>
      </c>
      <c r="C87" s="88" t="s">
        <v>457</v>
      </c>
      <c r="D87" s="82" t="s">
        <v>458</v>
      </c>
      <c r="E87" s="83">
        <v>46086</v>
      </c>
      <c r="F87" s="84" t="s">
        <v>459</v>
      </c>
      <c r="G87" s="85" t="s">
        <v>460</v>
      </c>
      <c r="H87" s="86" t="str">
        <f>HYPERLINK("https://drive.google.com/file/d/1y_feiTCO1rvkw31NR8RslLPVRYotdwrl/view?usp=drivesdk","Dr. Bhola Kumar Paswan-Drilling Engineering - I")</f>
        <v xml:space="preserve">Dr. Bhola Kumar Paswan-Drilling Engineering - I</v>
      </c>
      <c r="I87" s="87" t="s">
        <v>455</v>
      </c>
    </row>
    <row r="88" ht="25.5" customHeight="1">
      <c r="A88" s="5" t="s">
        <v>449</v>
      </c>
      <c r="B88" s="80" t="s">
        <v>461</v>
      </c>
      <c r="C88" s="81" t="s">
        <v>462</v>
      </c>
      <c r="D88" s="82" t="s">
        <v>463</v>
      </c>
      <c r="E88" s="83">
        <v>46086</v>
      </c>
      <c r="F88" s="84" t="s">
        <v>464</v>
      </c>
      <c r="G88" s="85" t="s">
        <v>465</v>
      </c>
      <c r="H88" s="86" t="str">
        <f>HYPERLINK("https://drive.google.com/file/d/1IhFNyjXkfw03tpdIpcTUzq-RGZposD54/view?usp=drivesdk","Mr. Nitesh Paliwal-Fluid Flow Operations")</f>
        <v xml:space="preserve">Mr. Nitesh Paliwal-Fluid Flow Operations</v>
      </c>
      <c r="I88" s="87" t="s">
        <v>455</v>
      </c>
    </row>
    <row r="89" ht="25.5" customHeight="1">
      <c r="A89" s="5" t="s">
        <v>449</v>
      </c>
      <c r="B89" s="80" t="s">
        <v>466</v>
      </c>
      <c r="C89" s="81" t="s">
        <v>467</v>
      </c>
      <c r="D89" s="82" t="s">
        <v>468</v>
      </c>
      <c r="E89" s="83">
        <v>46086</v>
      </c>
      <c r="F89" s="84" t="s">
        <v>469</v>
      </c>
      <c r="G89" s="85" t="s">
        <v>470</v>
      </c>
      <c r="H89" s="86" t="str">
        <f>HYPERLINK("https://drive.google.com/file/d/109OjqjOttCrXLgBFmucLSKR545eEgcax/view?usp=drivesdk","Dr. Mohatsim Mahetaji-Petroleum Exploration")</f>
        <v xml:space="preserve">Dr. Mohatsim Mahetaji-Petroleum Exploration</v>
      </c>
      <c r="I89" s="87" t="s">
        <v>455</v>
      </c>
    </row>
    <row r="90" ht="25.5" customHeight="1">
      <c r="A90" s="5" t="s">
        <v>449</v>
      </c>
      <c r="B90" s="80" t="s">
        <v>471</v>
      </c>
      <c r="C90" s="81" t="s">
        <v>472</v>
      </c>
      <c r="D90" s="82" t="s">
        <v>473</v>
      </c>
      <c r="E90" s="83">
        <v>46086</v>
      </c>
      <c r="F90" s="84" t="s">
        <v>474</v>
      </c>
      <c r="G90" s="85" t="s">
        <v>475</v>
      </c>
      <c r="H90" s="86" t="str">
        <f>HYPERLINK("https://drive.google.com/file/d/1AA8TAIcrnwIb2okmPmJo_nPmSiySmvRD/view?usp=drivesdk","Dr. Rajan Kumar Singh-Genetics and Molecular Biology")</f>
        <v xml:space="preserve">Dr. Rajan Kumar Singh-Genetics and Molecular Biology</v>
      </c>
      <c r="I90" s="87" t="s">
        <v>476</v>
      </c>
    </row>
    <row r="91" ht="25.5" customHeight="1">
      <c r="A91" s="5" t="s">
        <v>449</v>
      </c>
      <c r="B91" s="80" t="s">
        <v>477</v>
      </c>
      <c r="C91" s="81" t="s">
        <v>478</v>
      </c>
      <c r="D91" s="82" t="s">
        <v>479</v>
      </c>
      <c r="E91" s="83">
        <v>46086</v>
      </c>
      <c r="F91" s="84" t="s">
        <v>480</v>
      </c>
      <c r="G91" s="85" t="s">
        <v>481</v>
      </c>
      <c r="H91" s="86" t="str">
        <f>HYPERLINK("https://drive.google.com/file/d/1NjKja8KP0FdKCtCgrOOppy1Q8ifdFa1E/view?usp=drivesdk","Dr. Soham Mahendrabhai Trivedi-Environmental Biotechnology")</f>
        <v xml:space="preserve">Dr. Soham Mahendrabhai Trivedi-Environmental Biotechnology</v>
      </c>
      <c r="I91" s="87" t="s">
        <v>476</v>
      </c>
    </row>
    <row r="92" ht="25.5" customHeight="1">
      <c r="A92" s="5" t="s">
        <v>449</v>
      </c>
      <c r="B92" s="80" t="s">
        <v>482</v>
      </c>
      <c r="C92" s="81" t="s">
        <v>483</v>
      </c>
      <c r="D92" s="82" t="s">
        <v>484</v>
      </c>
      <c r="E92" s="83">
        <v>46086</v>
      </c>
      <c r="F92" s="84" t="s">
        <v>485</v>
      </c>
      <c r="G92" s="85" t="s">
        <v>486</v>
      </c>
      <c r="H92" s="86" t="str">
        <f>HYPERLINK("https://drive.google.com/file/d/1gE4fjSTptpy-WXhy1Iu_cV7cD2vMRX5Z/view?usp=drivesdk","Dr. Mitun Chakraborty-Bioinformatics and Computational Biology")</f>
        <v xml:space="preserve">Dr. Mitun Chakraborty-Bioinformatics and Computational Biology</v>
      </c>
      <c r="I92" s="87" t="s">
        <v>476</v>
      </c>
    </row>
    <row r="93" ht="25.5" customHeight="1">
      <c r="A93" s="5" t="s">
        <v>449</v>
      </c>
      <c r="B93" s="80" t="s">
        <v>487</v>
      </c>
      <c r="C93" s="81" t="s">
        <v>488</v>
      </c>
      <c r="D93" s="82" t="s">
        <v>489</v>
      </c>
      <c r="E93" s="83">
        <v>46015</v>
      </c>
      <c r="F93" s="84" t="s">
        <v>490</v>
      </c>
      <c r="G93" s="85" t="s">
        <v>491</v>
      </c>
      <c r="H93" s="86" t="str">
        <f>HYPERLINK("https://drive.google.com/file/d/128BVo8O1eG_TkiXKCDGU1wgMwAWvvGDe/view?usp=drivesdk","Dr. Sanjukta Banerjee-Bioprocess Engineering")</f>
        <v xml:space="preserve">Dr. Sanjukta Banerjee-Bioprocess Engineering</v>
      </c>
      <c r="I93" s="87" t="s">
        <v>476</v>
      </c>
    </row>
    <row r="94" ht="25.5" customHeight="1">
      <c r="A94" s="5" t="s">
        <v>449</v>
      </c>
      <c r="B94" s="80" t="s">
        <v>492</v>
      </c>
      <c r="C94" s="81" t="s">
        <v>478</v>
      </c>
      <c r="D94" s="82" t="s">
        <v>493</v>
      </c>
      <c r="E94" s="83">
        <v>46015</v>
      </c>
      <c r="F94" s="84" t="s">
        <v>494</v>
      </c>
      <c r="G94" s="85" t="s">
        <v>495</v>
      </c>
      <c r="H94" s="86" t="str">
        <f>HYPERLINK("https://drive.google.com/file/d/1Ge1SXHu1MrVtrpjnl46NofrhRtW3ddSX/view?usp=drivesdk","Dr. M R D S Nitish Venkateswarlu-Environmental Biotechnology")</f>
        <v xml:space="preserve">Dr. M R D S Nitish Venkateswarlu-Environmental Biotechnology</v>
      </c>
      <c r="I94" s="87" t="s">
        <v>476</v>
      </c>
    </row>
    <row r="95" ht="25.5" customHeight="1">
      <c r="A95" s="5" t="s">
        <v>449</v>
      </c>
      <c r="B95" s="80" t="s">
        <v>496</v>
      </c>
      <c r="C95" s="81" t="s">
        <v>497</v>
      </c>
      <c r="D95" s="82" t="s">
        <v>498</v>
      </c>
      <c r="E95" s="83">
        <v>46079</v>
      </c>
      <c r="F95" s="84" t="s">
        <v>499</v>
      </c>
      <c r="G95" s="85" t="s">
        <v>500</v>
      </c>
      <c r="H95" s="86" t="str">
        <f>HYPERLINK("https://drive.google.com/file/d/1NzsmXh0YfiD1TPkj1clzfHHeGMfljfBP/view?usp=drivesdk","Dr. Alok Kumar Yadav-Basics of Microbiology")</f>
        <v xml:space="preserve">Dr. Alok Kumar Yadav-Basics of Microbiology</v>
      </c>
      <c r="I95" s="87" t="s">
        <v>501</v>
      </c>
    </row>
    <row r="96" ht="25.5" customHeight="1">
      <c r="A96" s="5" t="s">
        <v>449</v>
      </c>
      <c r="B96" s="89" t="s">
        <v>502</v>
      </c>
      <c r="C96" s="81" t="s">
        <v>503</v>
      </c>
      <c r="D96" s="82" t="s">
        <v>504</v>
      </c>
      <c r="E96" s="83">
        <v>46015</v>
      </c>
      <c r="F96" s="84" t="s">
        <v>505</v>
      </c>
      <c r="G96" s="85" t="s">
        <v>506</v>
      </c>
      <c r="H96" s="86" t="str">
        <f>HYPERLINK("https://drive.google.com/file/d/105-QhKB7SxVwH-i8aI5tkY90mCCnIbgd/view?usp=drivesdk","Dr.Amarish Kumar Sharma-Biochemistry")</f>
        <v xml:space="preserve">Dr.Amarish Kumar Sharma-Biochemistry</v>
      </c>
      <c r="I96" s="87" t="s">
        <v>501</v>
      </c>
    </row>
    <row r="97" ht="25.5" customHeight="1">
      <c r="A97" s="5" t="s">
        <v>449</v>
      </c>
      <c r="B97" s="80" t="s">
        <v>507</v>
      </c>
      <c r="C97" s="81" t="s">
        <v>508</v>
      </c>
      <c r="D97" s="82" t="s">
        <v>509</v>
      </c>
      <c r="E97" s="83">
        <v>46079</v>
      </c>
      <c r="F97" s="84" t="s">
        <v>510</v>
      </c>
      <c r="G97" s="85" t="s">
        <v>511</v>
      </c>
      <c r="H97" s="86" t="str">
        <f>HYPERLINK("https://drive.google.com/file/d/1Ci6gX4DhTeaN3lv6rFflMw_wYSnTiY81/view?usp=drivesdk","Dr. Sanni Kumar-Biosafety, Bioethics, IPR &amp; Patents")</f>
        <v xml:space="preserve">Dr. Sanni Kumar-Biosafety, Bioethics, IPR &amp; Patents</v>
      </c>
      <c r="I97" s="87" t="s">
        <v>501</v>
      </c>
    </row>
    <row r="98" ht="25.5" customHeight="1">
      <c r="A98" s="5" t="s">
        <v>449</v>
      </c>
      <c r="B98" s="80" t="s">
        <v>512</v>
      </c>
      <c r="C98" s="81" t="s">
        <v>513</v>
      </c>
      <c r="D98" s="82" t="s">
        <v>514</v>
      </c>
      <c r="E98" s="83">
        <v>46079</v>
      </c>
      <c r="F98" s="84" t="s">
        <v>515</v>
      </c>
      <c r="G98" s="85" t="s">
        <v>516</v>
      </c>
      <c r="H98" s="86" t="str">
        <f>HYPERLINK("https://drive.google.com/file/d/1Pc2Shp8slJ6TTKOosefze2Z43Rw07rMy/view?usp=drivesdk","Dr. Prathamesh Potdar-Optimisation Techniques")</f>
        <v xml:space="preserve">Dr. Prathamesh Potdar-Optimisation Techniques</v>
      </c>
      <c r="I98" s="87" t="s">
        <v>501</v>
      </c>
    </row>
    <row r="99" ht="25.5" customHeight="1">
      <c r="A99" s="5" t="s">
        <v>449</v>
      </c>
      <c r="B99" s="80" t="s">
        <v>517</v>
      </c>
      <c r="C99" s="81" t="s">
        <v>518</v>
      </c>
      <c r="D99" s="82" t="s">
        <v>519</v>
      </c>
      <c r="E99" s="83">
        <v>46079</v>
      </c>
      <c r="F99" s="84" t="s">
        <v>520</v>
      </c>
      <c r="G99" s="85" t="s">
        <v>521</v>
      </c>
      <c r="H99" s="86" t="str">
        <f>HYPERLINK("https://drive.google.com/file/d/1z_Qx9A41Tkf6yv9z2EzIgWlO9_K4viuJ/view?usp=drivesdk","Omkamal Vashi-Electric &amp; Hybrid Vehicles")</f>
        <v xml:space="preserve">Omkamal Vashi-Electric &amp; Hybrid Vehicles</v>
      </c>
      <c r="I99" s="87" t="s">
        <v>501</v>
      </c>
    </row>
    <row r="100" ht="25.5" customHeight="1">
      <c r="A100" s="5" t="s">
        <v>449</v>
      </c>
      <c r="B100" s="80" t="s">
        <v>522</v>
      </c>
      <c r="C100" s="81" t="s">
        <v>523</v>
      </c>
      <c r="D100" s="82" t="s">
        <v>524</v>
      </c>
      <c r="E100" s="83">
        <v>46079</v>
      </c>
      <c r="F100" s="84" t="s">
        <v>525</v>
      </c>
      <c r="G100" s="85" t="s">
        <v>526</v>
      </c>
      <c r="H100" s="86" t="str">
        <f>HYPERLINK("https://drive.google.com/file/d/1E1NVMt8osHQ0bpn-6kcqyVvSiIJJLAn8/view?usp=drivesdk","Jugal Sanghadia-Automobile Engines")</f>
        <v xml:space="preserve">Jugal Sanghadia-Automobile Engines</v>
      </c>
      <c r="I100" s="87" t="s">
        <v>501</v>
      </c>
    </row>
    <row r="101" ht="25.5" customHeight="1">
      <c r="A101" s="5" t="s">
        <v>449</v>
      </c>
      <c r="B101" s="80" t="s">
        <v>527</v>
      </c>
      <c r="C101" s="81" t="s">
        <v>528</v>
      </c>
      <c r="D101" s="82" t="s">
        <v>529</v>
      </c>
      <c r="E101" s="83">
        <v>46079</v>
      </c>
      <c r="F101" s="84" t="s">
        <v>530</v>
      </c>
      <c r="G101" s="85" t="s">
        <v>531</v>
      </c>
      <c r="H101" s="86" t="str">
        <f>HYPERLINK("https://drive.google.com/file/d/1wOn8cDcFSPtvjj8H3m-sSDYbUCmQSEeE/view?usp=drivesdk","Vaibhav Bhatt-Automobile Powertrain &amp; Systems")</f>
        <v xml:space="preserve">Vaibhav Bhatt-Automobile Powertrain &amp; Systems</v>
      </c>
      <c r="I101" s="87" t="s">
        <v>532</v>
      </c>
    </row>
    <row r="102" ht="25.5" customHeight="1">
      <c r="A102" s="5" t="s">
        <v>449</v>
      </c>
      <c r="B102" s="80" t="s">
        <v>533</v>
      </c>
      <c r="C102" s="81" t="s">
        <v>534</v>
      </c>
      <c r="D102" s="82" t="s">
        <v>535</v>
      </c>
      <c r="E102" s="83">
        <v>46079</v>
      </c>
      <c r="F102" s="84" t="s">
        <v>536</v>
      </c>
      <c r="G102" s="85" t="s">
        <v>537</v>
      </c>
      <c r="H102" s="86" t="str">
        <f>HYPERLINK("https://drive.google.com/file/d/1BZhBcOgMsscdDhIgSbtj1KQMQPwyap06/view?usp=drivesdk","Dr. Vyomesh Buch-Design of Expriments")</f>
        <v xml:space="preserve">Dr. Vyomesh Buch-Design of Expriments</v>
      </c>
      <c r="I102" s="87" t="s">
        <v>532</v>
      </c>
    </row>
    <row r="103" ht="25.5" customHeight="1">
      <c r="A103" s="5" t="s">
        <v>449</v>
      </c>
      <c r="B103" s="80" t="s">
        <v>538</v>
      </c>
      <c r="C103" s="81" t="s">
        <v>539</v>
      </c>
      <c r="D103" s="82" t="s">
        <v>540</v>
      </c>
      <c r="E103" s="83">
        <v>46079</v>
      </c>
      <c r="F103" s="84" t="s">
        <v>541</v>
      </c>
      <c r="G103" s="85" t="s">
        <v>542</v>
      </c>
      <c r="H103" s="86" t="str">
        <f>HYPERLINK("https://drive.google.com/file/d/1w4fFHI5u6AOANZJGRfSg5YbkWVXPTN8s/view?usp=drivesdk","Dr. Prabhat Mishra-Fundamental of Heat Transfer")</f>
        <v xml:space="preserve">Dr. Prabhat Mishra-Fundamental of Heat Transfer</v>
      </c>
      <c r="I103" s="87" t="s">
        <v>532</v>
      </c>
    </row>
    <row r="104" ht="25.5" customHeight="1">
      <c r="A104" s="5" t="s">
        <v>449</v>
      </c>
      <c r="B104" s="80" t="s">
        <v>543</v>
      </c>
      <c r="C104" s="81" t="s">
        <v>544</v>
      </c>
      <c r="D104" s="82" t="s">
        <v>545</v>
      </c>
      <c r="E104" s="83">
        <v>46079</v>
      </c>
      <c r="F104" s="84" t="s">
        <v>546</v>
      </c>
      <c r="G104" s="85" t="s">
        <v>547</v>
      </c>
      <c r="H104" s="86" t="str">
        <f>HYPERLINK("https://drive.google.com/file/d/14EOvKBbcCH4fCkc47aly1-CyueCGYV7E/view?usp=drivesdk","Samkit Shah-Special Purpose Vehicles")</f>
        <v xml:space="preserve">Samkit Shah-Special Purpose Vehicles</v>
      </c>
      <c r="I104" s="87" t="s">
        <v>532</v>
      </c>
    </row>
    <row r="105" ht="25.5" customHeight="1">
      <c r="A105" s="5" t="s">
        <v>449</v>
      </c>
      <c r="B105" s="80" t="s">
        <v>548</v>
      </c>
      <c r="C105" s="88" t="s">
        <v>549</v>
      </c>
      <c r="D105" s="82" t="s">
        <v>550</v>
      </c>
      <c r="E105" s="83">
        <v>46079</v>
      </c>
      <c r="F105" s="84" t="s">
        <v>551</v>
      </c>
      <c r="G105" s="85" t="s">
        <v>552</v>
      </c>
      <c r="H105" s="86" t="str">
        <f>HYPERLINK("https://drive.google.com/file/d/1WvyFA2gBhDgfesew7cryv5FJ4g-s8YeA/view?usp=drivesdk","Nilesh Shah-Waste &amp; Energy Management")</f>
        <v xml:space="preserve">Nilesh Shah-Waste &amp; Energy Management</v>
      </c>
      <c r="I105" s="87" t="s">
        <v>532</v>
      </c>
    </row>
    <row r="106" ht="25.5" customHeight="1">
      <c r="A106" s="5" t="s">
        <v>449</v>
      </c>
      <c r="B106" s="80" t="s">
        <v>553</v>
      </c>
      <c r="C106" s="81" t="s">
        <v>554</v>
      </c>
      <c r="D106" s="82" t="s">
        <v>555</v>
      </c>
      <c r="E106" s="83">
        <v>46079</v>
      </c>
      <c r="F106" s="84" t="s">
        <v>556</v>
      </c>
      <c r="G106" s="85" t="s">
        <v>557</v>
      </c>
      <c r="H106" s="86" t="str">
        <f>HYPERLINK("https://drive.google.com/file/d/1rWv-YrjXxlRLEz3JyOidnmbW2aWmx3ns/view?usp=drivesdk","Shailesh Parmar-Fuels &amp; Lubricants")</f>
        <v xml:space="preserve">Shailesh Parmar-Fuels &amp; Lubricants</v>
      </c>
      <c r="I106" s="87" t="s">
        <v>558</v>
      </c>
    </row>
    <row r="107" ht="25.5" customHeight="1">
      <c r="A107" s="5" t="s">
        <v>449</v>
      </c>
      <c r="B107" s="80" t="s">
        <v>559</v>
      </c>
      <c r="C107" s="81" t="s">
        <v>523</v>
      </c>
      <c r="D107" s="82" t="s">
        <v>560</v>
      </c>
      <c r="E107" s="83">
        <v>46079</v>
      </c>
      <c r="F107" s="84" t="s">
        <v>561</v>
      </c>
      <c r="G107" s="85" t="s">
        <v>562</v>
      </c>
      <c r="H107" s="86" t="str">
        <f>HYPERLINK("https://drive.google.com/file/d/1yxAjCpcuQqbAXC2zEjfcIy9hA3SgyC-P/view?usp=drivesdk","Krunal Ajmeri-Automobile Engines")</f>
        <v xml:space="preserve">Krunal Ajmeri-Automobile Engines</v>
      </c>
      <c r="I107" s="87" t="s">
        <v>558</v>
      </c>
    </row>
    <row r="108" ht="25.5" customHeight="1">
      <c r="A108" s="5" t="s">
        <v>449</v>
      </c>
      <c r="B108" s="80" t="s">
        <v>563</v>
      </c>
      <c r="C108" s="81" t="s">
        <v>564</v>
      </c>
      <c r="D108" s="82" t="s">
        <v>565</v>
      </c>
      <c r="E108" s="83">
        <v>46079</v>
      </c>
      <c r="F108" s="84" t="s">
        <v>566</v>
      </c>
      <c r="G108" s="85" t="s">
        <v>567</v>
      </c>
      <c r="H108" s="86" t="str">
        <f>HYPERLINK("https://drive.google.com/file/d/1A-fmuN1rxnpghd9Kc815xUH2c9XQxEk0/view?usp=drivesdk","Sahil Khatri-Auto Electrical System Daignosis and Testing")</f>
        <v xml:space="preserve">Sahil Khatri-Auto Electrical System Daignosis and Testing</v>
      </c>
      <c r="I108" s="87" t="s">
        <v>558</v>
      </c>
    </row>
    <row r="109" ht="25.5" customHeight="1">
      <c r="A109" s="5" t="s">
        <v>449</v>
      </c>
      <c r="B109" s="80" t="s">
        <v>568</v>
      </c>
      <c r="C109" s="81" t="s">
        <v>569</v>
      </c>
      <c r="D109" s="82" t="s">
        <v>570</v>
      </c>
      <c r="E109" s="83">
        <v>46079</v>
      </c>
      <c r="F109" s="84" t="s">
        <v>571</v>
      </c>
      <c r="G109" s="85" t="s">
        <v>572</v>
      </c>
      <c r="H109" s="86" t="str">
        <f>HYPERLINK("https://drive.google.com/file/d/1LYiLZYjsimo6DOgo_JaPQVxmWJN2eWB0/view?usp=drivesdk","Yash Avasiya-Automobile Transmission Mechanism")</f>
        <v xml:space="preserve">Yash Avasiya-Automobile Transmission Mechanism</v>
      </c>
      <c r="I109" s="87" t="s">
        <v>558</v>
      </c>
    </row>
    <row r="110" ht="25.5" customHeight="1">
      <c r="A110" s="5" t="s">
        <v>449</v>
      </c>
      <c r="B110" s="80" t="s">
        <v>573</v>
      </c>
      <c r="C110" s="81" t="s">
        <v>574</v>
      </c>
      <c r="D110" s="82" t="s">
        <v>575</v>
      </c>
      <c r="E110" s="83">
        <v>46079</v>
      </c>
      <c r="F110" s="84" t="s">
        <v>576</v>
      </c>
      <c r="G110" s="85" t="s">
        <v>577</v>
      </c>
      <c r="H110" s="86" t="str">
        <f>HYPERLINK("https://drive.google.com/file/d/1WM7qpY2g_bnyb-dNwHD4Zilc2MsaEM68/view?usp=drivesdk","Vishal Makwana-Motor Vehicle Acts and Loss Assesment")</f>
        <v xml:space="preserve">Vishal Makwana-Motor Vehicle Acts and Loss Assesment</v>
      </c>
      <c r="I110" s="87" t="s">
        <v>558</v>
      </c>
    </row>
    <row r="111" ht="25.5" customHeight="1">
      <c r="A111" s="5" t="s">
        <v>449</v>
      </c>
      <c r="B111" s="80" t="s">
        <v>578</v>
      </c>
      <c r="C111" s="81" t="s">
        <v>579</v>
      </c>
      <c r="D111" s="82" t="s">
        <v>580</v>
      </c>
      <c r="E111" s="83">
        <v>46079</v>
      </c>
      <c r="F111" s="84" t="s">
        <v>581</v>
      </c>
      <c r="G111" s="85" t="s">
        <v>582</v>
      </c>
      <c r="H111" s="86" t="str">
        <f>HYPERLINK("https://drive.google.com/file/d/19BswsiSvaEuXk2hAxllkLDiP3bjDKxTo/view?usp=drivesdk","Dr. Heli A. Shah-Autotronics")</f>
        <v xml:space="preserve">Dr. Heli A. Shah-Autotronics</v>
      </c>
      <c r="I111" s="87" t="s">
        <v>558</v>
      </c>
    </row>
    <row r="112" ht="25.5" customHeight="1">
      <c r="A112" s="5" t="s">
        <v>449</v>
      </c>
      <c r="B112" s="80" t="s">
        <v>583</v>
      </c>
      <c r="C112" s="81" t="s">
        <v>584</v>
      </c>
      <c r="D112" s="82" t="s">
        <v>585</v>
      </c>
      <c r="E112" s="83">
        <v>46079</v>
      </c>
      <c r="F112" s="84" t="s">
        <v>586</v>
      </c>
      <c r="G112" s="85" t="s">
        <v>587</v>
      </c>
      <c r="H112" s="86" t="str">
        <f>HYPERLINK("https://drive.google.com/file/d/1DGDRY4UikR6wvPBJZVCoPAdN9xmI5GcK/view?usp=drivesdk","Mr. Prashant Tomar-Manufacturing Process")</f>
        <v xml:space="preserve">Mr. Prashant Tomar-Manufacturing Process</v>
      </c>
      <c r="I112" s="87" t="s">
        <v>588</v>
      </c>
    </row>
    <row r="113" ht="25.5" customHeight="1">
      <c r="A113" s="5" t="s">
        <v>449</v>
      </c>
      <c r="B113" s="80" t="s">
        <v>589</v>
      </c>
      <c r="C113" s="81" t="s">
        <v>590</v>
      </c>
      <c r="D113" s="82" t="s">
        <v>591</v>
      </c>
      <c r="E113" s="83">
        <v>46079</v>
      </c>
      <c r="F113" s="84" t="s">
        <v>592</v>
      </c>
      <c r="G113" s="85" t="s">
        <v>593</v>
      </c>
      <c r="H113" s="86" t="str">
        <f>HYPERLINK("https://drive.google.com/file/d/1NYEQ3baCCWOPoF6s0fwbBj8I0X0lz4KG/view?usp=drivesdk","Dr. Sharad Tiwari-Control Theory")</f>
        <v xml:space="preserve">Dr. Sharad Tiwari-Control Theory</v>
      </c>
      <c r="I113" s="87" t="s">
        <v>588</v>
      </c>
    </row>
    <row r="114" ht="25.5" customHeight="1">
      <c r="A114" s="5" t="s">
        <v>449</v>
      </c>
      <c r="B114" s="80" t="s">
        <v>594</v>
      </c>
      <c r="C114" s="81" t="s">
        <v>595</v>
      </c>
      <c r="D114" s="82" t="s">
        <v>596</v>
      </c>
      <c r="E114" s="83">
        <v>46079</v>
      </c>
      <c r="F114" s="84" t="s">
        <v>597</v>
      </c>
      <c r="G114" s="85" t="s">
        <v>598</v>
      </c>
      <c r="H114" s="86" t="str">
        <f>HYPERLINK("https://drive.google.com/file/d/1t7V2P8UgGK95cEustX0-ONDJ598S__AA/view?usp=drivesdk","Dr. Rashmi Pandey-Analog and Digital Electronics")</f>
        <v xml:space="preserve">Dr. Rashmi Pandey-Analog and Digital Electronics</v>
      </c>
      <c r="I114" s="87" t="s">
        <v>588</v>
      </c>
    </row>
    <row r="115" ht="25.5" customHeight="1">
      <c r="A115" s="5" t="s">
        <v>449</v>
      </c>
      <c r="B115" s="80" t="s">
        <v>599</v>
      </c>
      <c r="C115" s="81" t="s">
        <v>600</v>
      </c>
      <c r="D115" s="82" t="s">
        <v>601</v>
      </c>
      <c r="E115" s="83">
        <v>46079</v>
      </c>
      <c r="F115" s="84" t="s">
        <v>602</v>
      </c>
      <c r="G115" s="85" t="s">
        <v>603</v>
      </c>
      <c r="H115" s="86" t="str">
        <f>HYPERLINK("https://drive.google.com/file/d/1YebmPeo01FNlp0OqGslRX134vfy1n4g2/view?usp=drivesdk","Mr. Kaushal Barot-Kinematics and Dynamics of Machines")</f>
        <v xml:space="preserve">Mr. Kaushal Barot-Kinematics and Dynamics of Machines</v>
      </c>
      <c r="I115" s="87" t="s">
        <v>588</v>
      </c>
    </row>
    <row r="116" ht="25.5" customHeight="1">
      <c r="A116" s="5" t="s">
        <v>449</v>
      </c>
      <c r="B116" s="80" t="s">
        <v>604</v>
      </c>
      <c r="C116" s="88" t="s">
        <v>605</v>
      </c>
      <c r="D116" s="82" t="s">
        <v>606</v>
      </c>
      <c r="E116" s="83">
        <v>46079</v>
      </c>
      <c r="F116" s="84" t="s">
        <v>607</v>
      </c>
      <c r="G116" s="85" t="s">
        <v>608</v>
      </c>
      <c r="H116" s="86" t="str">
        <f>HYPERLINK("https://drive.google.com/file/d/1QJIBQSDLV-eh_g3FmCztpMP81HVoekFd/view?usp=drivesdk","Mr. Shiju Gangadaran-Microcontrollers and Interfacing for Robotics ")</f>
        <v xml:space="preserve">Mr. Shiju Gangadaran-Microcontrollers and Interfacing for Robotics </v>
      </c>
      <c r="I116" s="87" t="s">
        <v>588</v>
      </c>
    </row>
    <row r="117" ht="25.5" customHeight="1">
      <c r="A117" s="5" t="s">
        <v>449</v>
      </c>
      <c r="B117" s="80" t="s">
        <v>609</v>
      </c>
      <c r="C117" s="88" t="s">
        <v>610</v>
      </c>
      <c r="D117" s="82" t="s">
        <v>611</v>
      </c>
      <c r="E117" s="83">
        <v>46079</v>
      </c>
      <c r="F117" s="84" t="s">
        <v>612</v>
      </c>
      <c r="G117" s="85" t="s">
        <v>613</v>
      </c>
      <c r="H117" s="86" t="str">
        <f>HYPERLINK("https://drive.google.com/file/d/1AMpsAEoGxXR8JxtM_ncYVBFgfSO5UF3n/view?usp=drivesdk","Dr. Harsh Kumar Dixit-Quality and Reliability Engineering ")</f>
        <v xml:space="preserve">Dr. Harsh Kumar Dixit-Quality and Reliability Engineering </v>
      </c>
      <c r="I117" s="87" t="s">
        <v>614</v>
      </c>
    </row>
    <row r="118" ht="25.5" customHeight="1">
      <c r="A118" s="5" t="s">
        <v>449</v>
      </c>
      <c r="B118" s="80" t="s">
        <v>615</v>
      </c>
      <c r="C118" s="81" t="s">
        <v>616</v>
      </c>
      <c r="D118" s="82" t="s">
        <v>617</v>
      </c>
      <c r="E118" s="83">
        <v>46079</v>
      </c>
      <c r="F118" s="84" t="s">
        <v>618</v>
      </c>
      <c r="G118" s="85" t="s">
        <v>619</v>
      </c>
      <c r="H118" s="86" t="str">
        <f>HYPERLINK("https://drive.google.com/file/d/1fXY4rBiJD5ZTm_QsSw2BrMnzI_Qyux0m/view?usp=drivesdk","Mr. Viral P. Gandhi-Advanced Manufacturing System")</f>
        <v xml:space="preserve">Mr. Viral P. Gandhi-Advanced Manufacturing System</v>
      </c>
      <c r="I118" s="87" t="s">
        <v>614</v>
      </c>
    </row>
    <row r="119" ht="25.5" customHeight="1">
      <c r="A119" s="5" t="s">
        <v>449</v>
      </c>
      <c r="B119" s="80" t="s">
        <v>620</v>
      </c>
      <c r="C119" s="81" t="s">
        <v>621</v>
      </c>
      <c r="D119" s="82" t="s">
        <v>622</v>
      </c>
      <c r="E119" s="83">
        <v>46079</v>
      </c>
      <c r="F119" s="84" t="s">
        <v>623</v>
      </c>
      <c r="G119" s="85" t="s">
        <v>624</v>
      </c>
      <c r="H119" s="86" t="str">
        <f>HYPERLINK("https://drive.google.com/file/d/1QbcMJ8KZ1JNUItQnzCtzxl-uPKkhLmVn/view?usp=drivesdk","Dr. Vishant Kumar-Robot Dynamics and Manipulator Design")</f>
        <v xml:space="preserve">Dr. Vishant Kumar-Robot Dynamics and Manipulator Design</v>
      </c>
      <c r="I119" s="87" t="s">
        <v>614</v>
      </c>
    </row>
    <row r="120" ht="25.5" customHeight="1">
      <c r="A120" s="5" t="s">
        <v>449</v>
      </c>
      <c r="B120" s="80" t="s">
        <v>625</v>
      </c>
      <c r="C120" s="81" t="s">
        <v>626</v>
      </c>
      <c r="D120" s="82" t="s">
        <v>627</v>
      </c>
      <c r="E120" s="83">
        <v>46079</v>
      </c>
      <c r="F120" s="84" t="s">
        <v>628</v>
      </c>
      <c r="G120" s="85" t="s">
        <v>629</v>
      </c>
      <c r="H120" s="86" t="str">
        <f>HYPERLINK("https://drive.google.com/file/d/1pPobSkz5KpPAyDAZv770KFxzQxJqnB5I/view?usp=drivesdk","Dr. Jignesh Desai-Power Electronics")</f>
        <v xml:space="preserve">Dr. Jignesh Desai-Power Electronics</v>
      </c>
      <c r="I120" s="87" t="s">
        <v>614</v>
      </c>
    </row>
    <row r="121" ht="25.5" customHeight="1">
      <c r="A121" s="5" t="s">
        <v>449</v>
      </c>
      <c r="B121" s="80" t="s">
        <v>630</v>
      </c>
      <c r="C121" s="81" t="s">
        <v>631</v>
      </c>
      <c r="D121" s="82" t="s">
        <v>632</v>
      </c>
      <c r="E121" s="83">
        <v>46079</v>
      </c>
      <c r="F121" s="84" t="s">
        <v>633</v>
      </c>
      <c r="G121" s="85" t="s">
        <v>634</v>
      </c>
      <c r="H121" s="86" t="str">
        <f>HYPERLINK("https://drive.google.com/file/d/1MwctWHdwCn0jiQUO8b-ZIeWlm0XIsTi0/view?usp=drivesdk","Dr. Prabodh Sahoo-Network Analysis and Synthesis")</f>
        <v xml:space="preserve">Dr. Prabodh Sahoo-Network Analysis and Synthesis</v>
      </c>
      <c r="I121" s="87" t="s">
        <v>614</v>
      </c>
    </row>
    <row r="122" ht="25.5" customHeight="1">
      <c r="A122" s="5" t="s">
        <v>449</v>
      </c>
      <c r="B122" s="80" t="s">
        <v>635</v>
      </c>
      <c r="C122" s="81" t="s">
        <v>636</v>
      </c>
      <c r="D122" s="82" t="s">
        <v>637</v>
      </c>
      <c r="E122" s="83">
        <v>46079</v>
      </c>
      <c r="F122" s="84" t="s">
        <v>638</v>
      </c>
      <c r="G122" s="85" t="s">
        <v>639</v>
      </c>
      <c r="H122" s="86" t="str">
        <f>HYPERLINK("https://drive.google.com/file/d/1JVmHJ10YrhJJgxfIjh-2UHO61NgTr8cE/view?usp=drivesdk","Dr. S S P M Sharma B-Advanced Robotics and Industrial Automation")</f>
        <v xml:space="preserve">Dr. S S P M Sharma B-Advanced Robotics and Industrial Automation</v>
      </c>
      <c r="I122" s="87" t="s">
        <v>614</v>
      </c>
    </row>
    <row r="123" ht="25.5" customHeight="1">
      <c r="A123" s="5" t="s">
        <v>449</v>
      </c>
      <c r="B123" s="80" t="s">
        <v>640</v>
      </c>
      <c r="C123" s="81" t="s">
        <v>641</v>
      </c>
      <c r="D123" s="82" t="s">
        <v>642</v>
      </c>
      <c r="E123" s="83">
        <v>46079</v>
      </c>
      <c r="F123" s="84" t="s">
        <v>643</v>
      </c>
      <c r="G123" s="85" t="s">
        <v>644</v>
      </c>
      <c r="H123" s="86" t="str">
        <f>HYPERLINK("https://drive.google.com/file/d/14ZUu-iBafKfa9HtxICkSM_1W7rVeVmbI/view?usp=drivesdk","Mr. Jagdish Pampania-Material Engineering")</f>
        <v xml:space="preserve">Mr. Jagdish Pampania-Material Engineering</v>
      </c>
      <c r="I123" s="87" t="s">
        <v>645</v>
      </c>
    </row>
    <row r="124" ht="25.5" customHeight="1">
      <c r="A124" s="5" t="s">
        <v>449</v>
      </c>
      <c r="B124" s="80" t="s">
        <v>646</v>
      </c>
      <c r="C124" s="88" t="s">
        <v>647</v>
      </c>
      <c r="D124" s="82" t="s">
        <v>648</v>
      </c>
      <c r="E124" s="83">
        <v>46079</v>
      </c>
      <c r="F124" s="84" t="s">
        <v>649</v>
      </c>
      <c r="G124" s="85" t="s">
        <v>650</v>
      </c>
      <c r="H124" s="86" t="str">
        <f>HYPERLINK("https://drive.google.com/file/d/1m6huuxPftcWupVJGWKiU6UaqPlZkJAVM/view?usp=drivesdk","Mr. Manjeet Khare-Engineering Thermodynamics ")</f>
        <v xml:space="preserve">Mr. Manjeet Khare-Engineering Thermodynamics </v>
      </c>
      <c r="I124" s="87" t="s">
        <v>645</v>
      </c>
    </row>
    <row r="125" ht="25.5" customHeight="1">
      <c r="A125" s="5" t="s">
        <v>449</v>
      </c>
      <c r="B125" s="80" t="s">
        <v>651</v>
      </c>
      <c r="C125" s="81" t="s">
        <v>652</v>
      </c>
      <c r="D125" s="82" t="s">
        <v>653</v>
      </c>
      <c r="E125" s="83">
        <v>46079</v>
      </c>
      <c r="F125" s="84" t="s">
        <v>654</v>
      </c>
      <c r="G125" s="85" t="s">
        <v>655</v>
      </c>
      <c r="H125" s="86" t="str">
        <f>HYPERLINK("https://drive.google.com/file/d/1RwrhmEsZiSnh1ZFRcHppbLSJmj7fOiSH/view?usp=drivesdk","Mr. Amit Dhorajiya-Computer Aided Design and Analysis")</f>
        <v xml:space="preserve">Mr. Amit Dhorajiya-Computer Aided Design and Analysis</v>
      </c>
      <c r="I125" s="87" t="s">
        <v>645</v>
      </c>
    </row>
    <row r="126" ht="25.5" customHeight="1">
      <c r="A126" s="5" t="s">
        <v>449</v>
      </c>
      <c r="B126" s="80" t="s">
        <v>656</v>
      </c>
      <c r="C126" s="81" t="s">
        <v>657</v>
      </c>
      <c r="D126" s="82" t="s">
        <v>658</v>
      </c>
      <c r="E126" s="83">
        <v>46079</v>
      </c>
      <c r="F126" s="84" t="s">
        <v>659</v>
      </c>
      <c r="G126" s="85" t="s">
        <v>660</v>
      </c>
      <c r="H126" s="86" t="str">
        <f>HYPERLINK("https://drive.google.com/file/d/17D0s87dfdhpwupAtE_yzaeq9DTQhXC7O/view?usp=drivesdk","Dr.Vivek Kumar-Python Programming and ROS")</f>
        <v xml:space="preserve">Dr.Vivek Kumar-Python Programming and ROS</v>
      </c>
      <c r="I126" s="87" t="s">
        <v>645</v>
      </c>
    </row>
    <row r="127" ht="25.5" customHeight="1">
      <c r="A127" s="5" t="s">
        <v>449</v>
      </c>
      <c r="B127" s="80" t="s">
        <v>661</v>
      </c>
      <c r="C127" s="81" t="s">
        <v>662</v>
      </c>
      <c r="D127" s="82" t="s">
        <v>663</v>
      </c>
      <c r="E127" s="90">
        <v>46079</v>
      </c>
      <c r="F127" s="84" t="s">
        <v>664</v>
      </c>
      <c r="G127" s="85" t="s">
        <v>665</v>
      </c>
      <c r="H127" s="86" t="str">
        <f>HYPERLINK("https://drive.google.com/file/d/1ueELZbY7WSH-8sB2LFS2A4GCbq2slcWf/view?usp=drivesdk","Mrs.Seema Rajput-Measurements &amp; Instrumentation")</f>
        <v xml:space="preserve">Mrs.Seema Rajput-Measurements &amp; Instrumentation</v>
      </c>
      <c r="I127" s="87" t="s">
        <v>645</v>
      </c>
    </row>
    <row r="128" ht="25.5" customHeight="1">
      <c r="A128" s="5" t="s">
        <v>449</v>
      </c>
      <c r="B128" s="80" t="s">
        <v>666</v>
      </c>
      <c r="C128" s="81" t="s">
        <v>667</v>
      </c>
      <c r="D128" s="91" t="s">
        <v>668</v>
      </c>
      <c r="E128" s="92">
        <v>46086</v>
      </c>
      <c r="F128" s="84" t="s">
        <v>669</v>
      </c>
      <c r="G128" s="85" t="s">
        <v>670</v>
      </c>
      <c r="H128" s="86" t="str">
        <f>HYPERLINK("https://drive.google.com/file/d/1lioc6XSL-X_lWpXOhDbl8TNWjZydlg3Z/view?usp=drivesdk","Mr. Ranjit Kumar Rajak-Programmable Logic Controllers")</f>
        <v xml:space="preserve">Mr. Ranjit Kumar Rajak-Programmable Logic Controllers</v>
      </c>
      <c r="I128" s="87" t="s">
        <v>645</v>
      </c>
    </row>
    <row r="129" ht="25.5" customHeight="1">
      <c r="A129" s="5" t="s">
        <v>449</v>
      </c>
      <c r="B129" s="80" t="s">
        <v>671</v>
      </c>
      <c r="C129" s="81" t="s">
        <v>672</v>
      </c>
      <c r="D129" s="82" t="s">
        <v>673</v>
      </c>
      <c r="E129" s="90">
        <v>46079</v>
      </c>
      <c r="F129" s="84" t="s">
        <v>674</v>
      </c>
      <c r="G129" s="85" t="s">
        <v>675</v>
      </c>
      <c r="H129" s="86" t="str">
        <f>HYPERLINK("https://drive.google.com/file/d/1q1jXXZQSy6LlwQTAHH807YDPNzM8u3nh/view?usp=drivesdk","Mr. Soumil Raja-Python Programming")</f>
        <v xml:space="preserve">Mr. Soumil Raja-Python Programming</v>
      </c>
      <c r="I129" s="87" t="s">
        <v>676</v>
      </c>
    </row>
    <row r="130" ht="25.5" customHeight="1">
      <c r="A130" s="5" t="s">
        <v>449</v>
      </c>
      <c r="B130" s="80" t="s">
        <v>677</v>
      </c>
      <c r="C130" s="81" t="s">
        <v>595</v>
      </c>
      <c r="D130" s="91" t="s">
        <v>678</v>
      </c>
      <c r="E130" s="92">
        <v>46086</v>
      </c>
      <c r="F130" s="84" t="s">
        <v>679</v>
      </c>
      <c r="G130" s="85" t="s">
        <v>680</v>
      </c>
      <c r="H130" s="86" t="str">
        <f>HYPERLINK("https://drive.google.com/file/d/1tKhR0H6qkNYOMfQTfMqgSvYOfaOm5D9j/view?usp=drivesdk","Ms. Trupthi Patel-Analog and Digital Electronics")</f>
        <v xml:space="preserve">Ms. Trupthi Patel-Analog and Digital Electronics</v>
      </c>
      <c r="I130" s="87" t="s">
        <v>681</v>
      </c>
    </row>
    <row r="131" ht="25.5" customHeight="1">
      <c r="A131" s="5" t="s">
        <v>449</v>
      </c>
      <c r="B131" s="93" t="s">
        <v>682</v>
      </c>
      <c r="C131" s="94" t="s">
        <v>683</v>
      </c>
      <c r="D131" s="91" t="s">
        <v>684</v>
      </c>
      <c r="E131" s="92">
        <v>46086</v>
      </c>
      <c r="F131" s="84" t="s">
        <v>685</v>
      </c>
      <c r="G131" s="85" t="s">
        <v>686</v>
      </c>
      <c r="H131" s="86" t="str">
        <f>HYPERLINK("https://drive.google.com/file/d/1tbkZCQWjKjAqvtIWvC_DW5eDPli0AMJ-/view?usp=drivesdk","Dr. Pramod Kumar-Food Chemistry II")</f>
        <v xml:space="preserve">Dr. Pramod Kumar-Food Chemistry II</v>
      </c>
      <c r="I131" s="87" t="s">
        <v>681</v>
      </c>
    </row>
    <row r="132" ht="25.5" customHeight="1">
      <c r="A132" s="5" t="s">
        <v>449</v>
      </c>
      <c r="B132" s="93" t="s">
        <v>687</v>
      </c>
      <c r="C132" s="94" t="s">
        <v>688</v>
      </c>
      <c r="D132" s="91" t="s">
        <v>689</v>
      </c>
      <c r="E132" s="92">
        <v>46086</v>
      </c>
      <c r="F132" s="84" t="s">
        <v>690</v>
      </c>
      <c r="G132" s="85" t="s">
        <v>691</v>
      </c>
      <c r="H132" s="86" t="str">
        <f>HYPERLINK("https://drive.google.com/file/d/1_FZysDn8oCxFLSBzjIZ_veZjlGJbc-rD/view?usp=drivesdk","Dr. Rishab Dhar-Instrumental Techniques in Food Analysis")</f>
        <v xml:space="preserve">Dr. Rishab Dhar-Instrumental Techniques in Food Analysis</v>
      </c>
      <c r="I132" s="87" t="s">
        <v>692</v>
      </c>
    </row>
    <row r="133" ht="25.5" customHeight="1">
      <c r="A133" s="5" t="s">
        <v>449</v>
      </c>
      <c r="B133" s="93" t="s">
        <v>693</v>
      </c>
      <c r="C133" s="94" t="s">
        <v>694</v>
      </c>
      <c r="D133" s="91" t="s">
        <v>695</v>
      </c>
      <c r="E133" s="92">
        <v>46086</v>
      </c>
      <c r="F133" s="84" t="s">
        <v>696</v>
      </c>
      <c r="G133" s="85" t="s">
        <v>697</v>
      </c>
      <c r="H133" s="86" t="str">
        <f>HYPERLINK("https://drive.google.com/file/d/1DRK7xrpapV8UrPzS_5-CtcdLiOHgx5sL/view?usp=drivesdk","Dr. Jyotirmoy Goyary -Food Process Equipment Design")</f>
        <v xml:space="preserve">Dr. Jyotirmoy Goyary -Food Process Equipment Design</v>
      </c>
      <c r="I133" s="87" t="s">
        <v>692</v>
      </c>
    </row>
    <row r="134" ht="25.5" customHeight="1">
      <c r="A134" s="5" t="s">
        <v>449</v>
      </c>
      <c r="B134" s="93" t="s">
        <v>698</v>
      </c>
      <c r="C134" s="94" t="s">
        <v>699</v>
      </c>
      <c r="D134" s="91" t="s">
        <v>700</v>
      </c>
      <c r="E134" s="92">
        <v>46086</v>
      </c>
      <c r="F134" s="84" t="s">
        <v>701</v>
      </c>
      <c r="G134" s="85" t="s">
        <v>702</v>
      </c>
      <c r="H134" s="86" t="str">
        <f>HYPERLINK("https://drive.google.com/file/d/13CaKV4w0V0yAOhxbarLx0vWiB06KvCtQ/view?usp=drivesdk","Mr. Ashish Todkar-Principles of Food Engineering")</f>
        <v xml:space="preserve">Mr. Ashish Todkar-Principles of Food Engineering</v>
      </c>
      <c r="I134" s="87" t="s">
        <v>692</v>
      </c>
    </row>
    <row r="135" ht="25.5" customHeight="1">
      <c r="A135" s="5" t="s">
        <v>449</v>
      </c>
      <c r="B135" s="93" t="s">
        <v>703</v>
      </c>
      <c r="C135" s="94" t="s">
        <v>704</v>
      </c>
      <c r="D135" s="91" t="s">
        <v>705</v>
      </c>
      <c r="E135" s="92">
        <v>46086</v>
      </c>
      <c r="F135" s="84" t="s">
        <v>706</v>
      </c>
      <c r="G135" s="85" t="s">
        <v>707</v>
      </c>
      <c r="H135" s="86" t="str">
        <f>HYPERLINK("https://drive.google.com/file/d/195erdB_CwDviiWwmdSiNrAUoRaCmyoj2/view?usp=drivesdk","Dr. Shaikh Adil-By Products Technology")</f>
        <v xml:space="preserve">Dr. Shaikh Adil-By Products Technology</v>
      </c>
      <c r="I135" s="87" t="s">
        <v>692</v>
      </c>
    </row>
    <row r="136" ht="25.5" customHeight="1">
      <c r="A136" s="5" t="s">
        <v>449</v>
      </c>
      <c r="B136" s="93" t="s">
        <v>708</v>
      </c>
      <c r="C136" s="94" t="s">
        <v>709</v>
      </c>
      <c r="D136" s="91" t="s">
        <v>710</v>
      </c>
      <c r="E136" s="92">
        <v>46086</v>
      </c>
      <c r="F136" s="84" t="s">
        <v>711</v>
      </c>
      <c r="G136" s="85" t="s">
        <v>712</v>
      </c>
      <c r="H136" s="86" t="str">
        <f>HYPERLINK("https://drive.google.com/file/d/1lehOWZv_GRvuIdWwb5xZrjJeNcR9WexZ/view?usp=drivesdk","Dr. Bhavesh Baria-Dairy Products Equipments")</f>
        <v xml:space="preserve">Dr. Bhavesh Baria-Dairy Products Equipments</v>
      </c>
      <c r="I136" s="87" t="s">
        <v>692</v>
      </c>
    </row>
    <row r="137" ht="25.5" customHeight="1">
      <c r="A137" s="5" t="s">
        <v>449</v>
      </c>
      <c r="B137" s="93" t="s">
        <v>713</v>
      </c>
      <c r="C137" s="94" t="s">
        <v>714</v>
      </c>
      <c r="D137" s="91" t="s">
        <v>715</v>
      </c>
      <c r="E137" s="92">
        <v>46086</v>
      </c>
      <c r="F137" s="84" t="s">
        <v>716</v>
      </c>
      <c r="G137" s="85" t="s">
        <v>717</v>
      </c>
      <c r="H137" s="86" t="str">
        <f>HYPERLINK("https://drive.google.com/file/d/1P9TnjPethC4iYtxx3uiVTGKYwZHvsLz3/view?usp=drivesdk","Ms. Parita Mangroliya-Chemical Quality Assurance")</f>
        <v xml:space="preserve">Ms. Parita Mangroliya-Chemical Quality Assurance</v>
      </c>
      <c r="I137" s="87" t="s">
        <v>692</v>
      </c>
    </row>
    <row r="138" ht="25.5" customHeight="1">
      <c r="A138" s="5" t="s">
        <v>449</v>
      </c>
      <c r="B138" s="93" t="s">
        <v>718</v>
      </c>
      <c r="C138" s="95" t="s">
        <v>719</v>
      </c>
      <c r="D138" s="91" t="s">
        <v>720</v>
      </c>
      <c r="E138" s="92">
        <v>46086</v>
      </c>
      <c r="F138" s="84" t="s">
        <v>721</v>
      </c>
      <c r="G138" s="85" t="s">
        <v>722</v>
      </c>
      <c r="H138" s="86" t="str">
        <f>HYPERLINK("https://drive.google.com/file/d/10nVHb9v4QE0_S8c0JC3JLXIvxVneLoHF/view?usp=drivesdk","Dr. Bhagyashree Das-Microbiology Quality Assurance")</f>
        <v xml:space="preserve">Dr. Bhagyashree Das-Microbiology Quality Assurance</v>
      </c>
      <c r="I138" s="87" t="s">
        <v>723</v>
      </c>
    </row>
    <row r="139" ht="25.5" customHeight="1">
      <c r="A139" s="5" t="s">
        <v>449</v>
      </c>
      <c r="B139" s="89" t="s">
        <v>724</v>
      </c>
      <c r="C139" s="96" t="s">
        <v>725</v>
      </c>
      <c r="D139" s="91" t="s">
        <v>726</v>
      </c>
      <c r="E139" s="97">
        <v>46015</v>
      </c>
      <c r="F139" s="84" t="s">
        <v>727</v>
      </c>
      <c r="G139" s="85" t="s">
        <v>728</v>
      </c>
      <c r="H139" s="86" t="str">
        <f>HYPERLINK("https://drive.google.com/file/d/1AQpA5X_OxE6fBo07x_yvzQ8FWWRooqmK/view?usp=drivesdk","Umangkumar B. Zalavadiya-Watershed Hydrology")</f>
        <v xml:space="preserve">Umangkumar B. Zalavadiya-Watershed Hydrology</v>
      </c>
      <c r="I139" s="87" t="s">
        <v>729</v>
      </c>
    </row>
    <row r="140" ht="25.5" customHeight="1">
      <c r="A140" s="5" t="s">
        <v>449</v>
      </c>
      <c r="B140" s="89" t="s">
        <v>730</v>
      </c>
      <c r="C140" s="98" t="s">
        <v>731</v>
      </c>
      <c r="D140" s="91" t="s">
        <v>732</v>
      </c>
      <c r="E140" s="97">
        <v>46015</v>
      </c>
      <c r="F140" s="84" t="s">
        <v>733</v>
      </c>
      <c r="G140" s="85" t="s">
        <v>734</v>
      </c>
      <c r="H140" s="86" t="str">
        <f>HYPERLINK("https://drive.google.com/file/d/1q6kzZAsVlVhLCXzTWON1N4_PoHuN753E/view?usp=drivesdk","Prof. Dixit mistry-Farm Tractor Systems and Controls ")</f>
        <v xml:space="preserve">Prof. Dixit mistry-Farm Tractor Systems and Controls </v>
      </c>
      <c r="I140" s="87" t="s">
        <v>729</v>
      </c>
    </row>
    <row r="141" ht="25.5" customHeight="1">
      <c r="A141" s="5" t="s">
        <v>449</v>
      </c>
      <c r="B141" s="99" t="s">
        <v>735</v>
      </c>
      <c r="C141" s="100" t="s">
        <v>186</v>
      </c>
      <c r="D141" s="91" t="s">
        <v>736</v>
      </c>
      <c r="E141" s="97">
        <v>46015</v>
      </c>
      <c r="F141" s="84" t="s">
        <v>737</v>
      </c>
      <c r="G141" s="85" t="s">
        <v>738</v>
      </c>
      <c r="H141" s="86" t="str">
        <f>HYPERLINK("https://drive.google.com/file/d/1EaUrbmovKv6-iNI2MYjExzamEd1k6J3j/view?usp=drivesdk","Mr. Sunny Wasudeorao Thakare-Design of Data Structures")</f>
        <v xml:space="preserve">Mr. Sunny Wasudeorao Thakare-Design of Data Structures</v>
      </c>
      <c r="I141" s="87" t="s">
        <v>739</v>
      </c>
    </row>
    <row r="142" ht="25.5" customHeight="1">
      <c r="A142" s="5" t="s">
        <v>449</v>
      </c>
      <c r="B142" s="99" t="s">
        <v>740</v>
      </c>
      <c r="C142" s="100" t="s">
        <v>741</v>
      </c>
      <c r="D142" s="91" t="s">
        <v>742</v>
      </c>
      <c r="E142" s="97">
        <v>46079</v>
      </c>
      <c r="F142" s="84" t="s">
        <v>743</v>
      </c>
      <c r="G142" s="85" t="s">
        <v>744</v>
      </c>
      <c r="H142" s="86" t="str">
        <f>HYPERLINK("https://drive.google.com/file/d/12k4cUMVgaYhljNI1GFkxd1BoBQv4OjmZ/view?usp=drivesdk","Mr. Akash Suresh Patil-Database Management System")</f>
        <v xml:space="preserve">Mr. Akash Suresh Patil-Database Management System</v>
      </c>
      <c r="I142" s="87" t="s">
        <v>723</v>
      </c>
    </row>
    <row r="143" ht="25.5" customHeight="1">
      <c r="A143" s="5" t="s">
        <v>449</v>
      </c>
      <c r="B143" s="99" t="s">
        <v>745</v>
      </c>
      <c r="C143" s="100" t="s">
        <v>746</v>
      </c>
      <c r="D143" s="91" t="s">
        <v>747</v>
      </c>
      <c r="E143" s="97">
        <v>46015</v>
      </c>
      <c r="F143" s="84" t="s">
        <v>748</v>
      </c>
      <c r="G143" s="85" t="s">
        <v>749</v>
      </c>
      <c r="H143" s="86" t="str">
        <f>HYPERLINK("https://drive.google.com/file/d/1LuN56hTTln3crhEFROVZlgWGd_FP4421/view?usp=drivesdk","Shivkumar Lilhare-Object Oriented Programming with JAVA")</f>
        <v xml:space="preserve">Shivkumar Lilhare-Object Oriented Programming with JAVA</v>
      </c>
      <c r="I143" s="87" t="s">
        <v>739</v>
      </c>
    </row>
    <row r="144" ht="25.5" customHeight="1">
      <c r="A144" s="5" t="s">
        <v>449</v>
      </c>
      <c r="B144" s="99" t="s">
        <v>750</v>
      </c>
      <c r="C144" s="100" t="s">
        <v>751</v>
      </c>
      <c r="D144" s="91" t="s">
        <v>752</v>
      </c>
      <c r="E144" s="97">
        <v>46015</v>
      </c>
      <c r="F144" s="84" t="s">
        <v>753</v>
      </c>
      <c r="G144" s="85" t="s">
        <v>754</v>
      </c>
      <c r="H144" s="86" t="str">
        <f>HYPERLINK("https://drive.google.com/file/d/1uKL0ufmuuBXJBXH9ebVgtSnqgnShzwkQ/view?usp=drivesdk","Mrs. Bhumi Kaushal Shah-Design and Analysis of Algorithm")</f>
        <v xml:space="preserve">Mrs. Bhumi Kaushal Shah-Design and Analysis of Algorithm</v>
      </c>
      <c r="I144" s="87" t="s">
        <v>739</v>
      </c>
    </row>
    <row r="145" ht="25.5" customHeight="1">
      <c r="A145" s="5" t="s">
        <v>449</v>
      </c>
      <c r="B145" s="99" t="s">
        <v>755</v>
      </c>
      <c r="C145" s="100" t="s">
        <v>756</v>
      </c>
      <c r="D145" s="91" t="s">
        <v>757</v>
      </c>
      <c r="E145" s="97">
        <v>46015</v>
      </c>
      <c r="F145" s="84" t="s">
        <v>758</v>
      </c>
      <c r="G145" s="85" t="s">
        <v>759</v>
      </c>
      <c r="H145" s="86" t="str">
        <f>HYPERLINK("https://drive.google.com/file/d/1CPYrpZYs80zI_8cyJ5KM6pSeVBGHia03/view?usp=drivesdk","Mrs. Arpita Meet Vaidya-Software Engineering")</f>
        <v xml:space="preserve">Mrs. Arpita Meet Vaidya-Software Engineering</v>
      </c>
      <c r="I145" s="87" t="s">
        <v>739</v>
      </c>
    </row>
    <row r="146" ht="25.5" customHeight="1">
      <c r="A146" s="5" t="s">
        <v>449</v>
      </c>
      <c r="B146" s="99" t="s">
        <v>760</v>
      </c>
      <c r="C146" s="100" t="s">
        <v>761</v>
      </c>
      <c r="D146" s="91" t="s">
        <v>762</v>
      </c>
      <c r="E146" s="97">
        <v>46015</v>
      </c>
      <c r="F146" s="84" t="s">
        <v>763</v>
      </c>
      <c r="G146" s="85" t="s">
        <v>764</v>
      </c>
      <c r="H146" s="86" t="str">
        <f>HYPERLINK("https://drive.google.com/file/d/10pXev038AR5ZijeuLmBVI_1cH0snvaa-/view?usp=drivesdk","Ms. Riddhi Atulkumar Mehta-Theory of Computation")</f>
        <v xml:space="preserve">Ms. Riddhi Atulkumar Mehta-Theory of Computation</v>
      </c>
      <c r="I146" s="87" t="s">
        <v>739</v>
      </c>
    </row>
    <row r="147" ht="25.5" customHeight="1">
      <c r="A147" s="5" t="s">
        <v>449</v>
      </c>
      <c r="B147" s="99" t="s">
        <v>765</v>
      </c>
      <c r="C147" s="100" t="s">
        <v>227</v>
      </c>
      <c r="D147" s="91" t="s">
        <v>766</v>
      </c>
      <c r="E147" s="97">
        <v>46015</v>
      </c>
      <c r="F147" s="84" t="s">
        <v>767</v>
      </c>
      <c r="G147" s="85" t="s">
        <v>768</v>
      </c>
      <c r="H147" s="86" t="str">
        <f>HYPERLINK("https://drive.google.com/file/d/1OhqOt2_3mEGRf99wec1ZQM9qEpht2NFH/view?usp=drivesdk","Arnika Patel-Enterprise Programming using Java")</f>
        <v xml:space="preserve">Arnika Patel-Enterprise Programming using Java</v>
      </c>
      <c r="I147" s="87" t="s">
        <v>739</v>
      </c>
    </row>
    <row r="148" ht="25.5" customHeight="1">
      <c r="A148" s="5" t="s">
        <v>449</v>
      </c>
      <c r="B148" s="99" t="s">
        <v>769</v>
      </c>
      <c r="C148" s="100" t="s">
        <v>770</v>
      </c>
      <c r="D148" s="91" t="s">
        <v>771</v>
      </c>
      <c r="E148" s="97">
        <v>46015</v>
      </c>
      <c r="F148" s="84" t="s">
        <v>772</v>
      </c>
      <c r="G148" s="85" t="s">
        <v>773</v>
      </c>
      <c r="H148" s="86" t="str">
        <f>HYPERLINK("https://drive.google.com/file/d/1eeVS5heDNIk5JXFInogJszBBsYoA6m2h/view?usp=drivesdk","Ms Kinjal Kevin gandhi-AWS")</f>
        <v xml:space="preserve">Ms Kinjal Kevin gandhi-AWS</v>
      </c>
      <c r="I148" s="87" t="s">
        <v>739</v>
      </c>
    </row>
    <row r="149" ht="25.5" customHeight="1">
      <c r="A149" s="5" t="s">
        <v>449</v>
      </c>
      <c r="B149" s="99" t="s">
        <v>774</v>
      </c>
      <c r="C149" s="100" t="s">
        <v>775</v>
      </c>
      <c r="D149" s="91" t="s">
        <v>776</v>
      </c>
      <c r="E149" s="97">
        <v>46015</v>
      </c>
      <c r="F149" s="84" t="s">
        <v>777</v>
      </c>
      <c r="G149" s="85" t="s">
        <v>778</v>
      </c>
      <c r="H149" s="86" t="str">
        <f>HYPERLINK("https://drive.google.com/file/d/1TwPsgwy03_frirytlBvtZ8JpEyPeKIMF/view?usp=drivesdk","Dr. Vinod Patidar-Data Analytics and Data Visualization")</f>
        <v xml:space="preserve">Dr. Vinod Patidar-Data Analytics and Data Visualization</v>
      </c>
      <c r="I149" s="87" t="s">
        <v>739</v>
      </c>
    </row>
    <row r="150" ht="25.5" customHeight="1">
      <c r="A150" s="5" t="s">
        <v>449</v>
      </c>
      <c r="B150" s="99" t="s">
        <v>779</v>
      </c>
      <c r="C150" s="100" t="s">
        <v>216</v>
      </c>
      <c r="D150" s="91" t="s">
        <v>780</v>
      </c>
      <c r="E150" s="97">
        <v>46015</v>
      </c>
      <c r="F150" s="84" t="s">
        <v>781</v>
      </c>
      <c r="G150" s="85" t="s">
        <v>782</v>
      </c>
      <c r="H150" s="86" t="str">
        <f>HYPERLINK("https://drive.google.com/file/d/1MWdY09w2IQtisJkGLvIcjboGysTjRvKC/view?usp=drivesdk","Dr. Bhasha Vandit Anjaria-Information and Network Security")</f>
        <v xml:space="preserve">Dr. Bhasha Vandit Anjaria-Information and Network Security</v>
      </c>
      <c r="I150" s="87" t="s">
        <v>783</v>
      </c>
    </row>
    <row r="151" ht="25.5" customHeight="1">
      <c r="A151" s="5" t="s">
        <v>449</v>
      </c>
      <c r="B151" s="99" t="s">
        <v>784</v>
      </c>
      <c r="C151" s="100" t="s">
        <v>785</v>
      </c>
      <c r="D151" s="91" t="s">
        <v>786</v>
      </c>
      <c r="E151" s="97">
        <v>46015</v>
      </c>
      <c r="F151" s="84" t="s">
        <v>787</v>
      </c>
      <c r="G151" s="85" t="s">
        <v>788</v>
      </c>
      <c r="H151" s="86" t="str">
        <f>HYPERLINK("https://drive.google.com/file/d/1KcwvvvDB7CKlB4-eJH-YTf5wA00SdYyJ/view?usp=drivesdk","Mrs. Kusum Lata Dhiman-Software Testing and Quality Assurance")</f>
        <v xml:space="preserve">Mrs. Kusum Lata Dhiman-Software Testing and Quality Assurance</v>
      </c>
      <c r="I151" s="87" t="s">
        <v>783</v>
      </c>
    </row>
    <row r="152" ht="25.5" customHeight="1">
      <c r="A152" s="5" t="s">
        <v>449</v>
      </c>
      <c r="B152" s="99" t="s">
        <v>789</v>
      </c>
      <c r="C152" s="100" t="s">
        <v>790</v>
      </c>
      <c r="D152" s="91" t="s">
        <v>791</v>
      </c>
      <c r="E152" s="97">
        <v>46015</v>
      </c>
      <c r="F152" s="84" t="s">
        <v>792</v>
      </c>
      <c r="G152" s="85" t="s">
        <v>793</v>
      </c>
      <c r="H152" s="86" t="str">
        <f>HYPERLINK("https://drive.google.com/file/d/1TXZkiaoDXxtsNyzABbMrK9jRynf0Ini8/view?usp=drivesdk","Janmejay Kumar Vishwakarma-Big Data Analytics")</f>
        <v xml:space="preserve">Janmejay Kumar Vishwakarma-Big Data Analytics</v>
      </c>
      <c r="I152" s="87" t="s">
        <v>783</v>
      </c>
    </row>
    <row r="153" ht="25.5" customHeight="1">
      <c r="A153" s="5" t="s">
        <v>449</v>
      </c>
      <c r="B153" s="101" t="s">
        <v>740</v>
      </c>
      <c r="C153" s="100" t="s">
        <v>741</v>
      </c>
      <c r="D153" s="91" t="s">
        <v>794</v>
      </c>
      <c r="E153" s="102">
        <v>46086</v>
      </c>
      <c r="F153" s="84" t="s">
        <v>795</v>
      </c>
      <c r="G153" s="85" t="s">
        <v>796</v>
      </c>
      <c r="H153" s="86" t="str">
        <f>HYPERLINK("https://drive.google.com/file/d/1XNy3yXLtcrAzceIEoOGC4CLw51acxoiP/view?usp=drivesdk","Mr. Akash Suresh Patil-Database Management System")</f>
        <v xml:space="preserve">Mr. Akash Suresh Patil-Database Management System</v>
      </c>
      <c r="I153" s="87" t="s">
        <v>797</v>
      </c>
    </row>
    <row r="154" ht="25.5" customHeight="1">
      <c r="A154" s="5" t="s">
        <v>449</v>
      </c>
      <c r="B154" s="89" t="s">
        <v>798</v>
      </c>
      <c r="C154" s="103" t="s">
        <v>799</v>
      </c>
      <c r="D154" s="91" t="s">
        <v>800</v>
      </c>
      <c r="E154" s="97">
        <v>46015</v>
      </c>
      <c r="F154" s="84" t="s">
        <v>801</v>
      </c>
      <c r="G154" s="85" t="s">
        <v>802</v>
      </c>
      <c r="H154" s="86" t="str">
        <f>HYPERLINK("https://drive.google.com/file/d/1FhPCTCYR56g15R32FgF8pX1cN3rirpmc/view?usp=drivesdk","Rahul Prajapati-Engineering Mathematics-1_")</f>
        <v xml:space="preserve">Rahul Prajapati-Engineering Mathematics-1_</v>
      </c>
      <c r="I154" s="87" t="s">
        <v>803</v>
      </c>
    </row>
    <row r="155" ht="25.5" customHeight="1">
      <c r="A155" s="5" t="s">
        <v>449</v>
      </c>
      <c r="B155" s="103" t="s">
        <v>804</v>
      </c>
      <c r="C155" s="103" t="s">
        <v>805</v>
      </c>
      <c r="D155" s="91" t="s">
        <v>806</v>
      </c>
      <c r="E155" s="97">
        <v>46015</v>
      </c>
      <c r="F155" s="84" t="s">
        <v>807</v>
      </c>
      <c r="G155" s="85" t="s">
        <v>808</v>
      </c>
      <c r="H155" s="86" t="str">
        <f>HYPERLINK("https://drive.google.com/file/d/1H_kQmBARSBT7NyBU7vpDSlztgrKErIqO/view?usp=drivesdk","Vishakha Khambhati-Bio potential and Recorders ")</f>
        <v xml:space="preserve">Vishakha Khambhati-Bio potential and Recorders </v>
      </c>
      <c r="I155" s="87" t="s">
        <v>803</v>
      </c>
    </row>
    <row r="156" ht="25.5" customHeight="1">
      <c r="A156" s="104" t="s">
        <v>809</v>
      </c>
      <c r="B156" s="105" t="s">
        <v>810</v>
      </c>
      <c r="C156" s="106" t="s">
        <v>811</v>
      </c>
      <c r="D156" s="107" t="s">
        <v>812</v>
      </c>
      <c r="E156" s="108">
        <v>46059</v>
      </c>
      <c r="F156" s="109" t="s">
        <v>813</v>
      </c>
      <c r="G156" s="110" t="s">
        <v>814</v>
      </c>
      <c r="H156" s="111" t="str">
        <f>HYPERLINK("https://drive.google.com/file/d/1xaP73cUl_c7K6uEGh32xRmWQdWqbSyVE/view?usp=drivesdk","Dr. Ritesh Sinha-Pathophysiology")</f>
        <v xml:space="preserve">Dr. Ritesh Sinha-Pathophysiology</v>
      </c>
      <c r="I156" s="112" t="s">
        <v>815</v>
      </c>
    </row>
    <row r="157" ht="25.5" customHeight="1">
      <c r="A157" s="104" t="s">
        <v>809</v>
      </c>
      <c r="B157" s="105" t="s">
        <v>816</v>
      </c>
      <c r="C157" s="106" t="s">
        <v>817</v>
      </c>
      <c r="D157" s="107" t="s">
        <v>818</v>
      </c>
      <c r="E157" s="108">
        <v>46059</v>
      </c>
      <c r="F157" s="109" t="s">
        <v>819</v>
      </c>
      <c r="G157" s="110" t="s">
        <v>820</v>
      </c>
      <c r="H157" s="111" t="str">
        <f>HYPERLINK("https://drive.google.com/file/d/1xxvE01SPJIFqp7AMSjeQqIrUQJwRC3D7/view?usp=drivesdk","Dr. Khushboo Kathorotiya-Pharmaceutical Microbiology")</f>
        <v xml:space="preserve">Dr. Khushboo Kathorotiya-Pharmaceutical Microbiology</v>
      </c>
      <c r="I157" s="112" t="s">
        <v>815</v>
      </c>
    </row>
    <row r="158" ht="25.5" customHeight="1">
      <c r="A158" s="104" t="s">
        <v>809</v>
      </c>
      <c r="B158" s="105" t="s">
        <v>821</v>
      </c>
      <c r="C158" s="106" t="s">
        <v>822</v>
      </c>
      <c r="D158" s="107" t="s">
        <v>823</v>
      </c>
      <c r="E158" s="108">
        <v>46059</v>
      </c>
      <c r="F158" s="109" t="s">
        <v>824</v>
      </c>
      <c r="G158" s="110" t="s">
        <v>825</v>
      </c>
      <c r="H158" s="111" t="str">
        <f>HYPERLINK("https://drive.google.com/file/d/1eqACz7Tn6SRm8CYBNq2VHaQdGABDC_gS/view?usp=drivesdk","Dr. Foram Patel-Pharmacotherapeutics-II")</f>
        <v xml:space="preserve">Dr. Foram Patel-Pharmacotherapeutics-II</v>
      </c>
      <c r="I158" s="112" t="s">
        <v>826</v>
      </c>
    </row>
    <row r="159" ht="25.5" customHeight="1">
      <c r="A159" s="104" t="s">
        <v>809</v>
      </c>
      <c r="B159" s="105" t="s">
        <v>827</v>
      </c>
      <c r="C159" s="106" t="s">
        <v>828</v>
      </c>
      <c r="D159" s="107" t="s">
        <v>829</v>
      </c>
      <c r="E159" s="108">
        <v>46059</v>
      </c>
      <c r="F159" s="109" t="s">
        <v>830</v>
      </c>
      <c r="G159" s="110" t="s">
        <v>831</v>
      </c>
      <c r="H159" s="111" t="str">
        <f>HYPERLINK("https://drive.google.com/file/d/1u5EtHaOxTzcTTeInmYhoIh1D6gkI7kcu/view?usp=drivesdk","Dr. Mansi Mistry-Clinical Pharmacy")</f>
        <v xml:space="preserve">Dr. Mansi Mistry-Clinical Pharmacy</v>
      </c>
      <c r="I159" s="112" t="s">
        <v>832</v>
      </c>
    </row>
    <row r="160" ht="25.5" customHeight="1">
      <c r="A160" s="104" t="s">
        <v>809</v>
      </c>
      <c r="B160" s="105" t="s">
        <v>833</v>
      </c>
      <c r="C160" s="106" t="s">
        <v>834</v>
      </c>
      <c r="D160" s="107" t="s">
        <v>835</v>
      </c>
      <c r="E160" s="108">
        <v>46059</v>
      </c>
      <c r="F160" s="109" t="s">
        <v>836</v>
      </c>
      <c r="G160" s="110" t="s">
        <v>837</v>
      </c>
      <c r="H160" s="111" t="str">
        <f>HYPERLINK("https://drive.google.com/file/d/1TWDWRdaeUh9n2dHWhH-iFv-jN0hUyHj3/view?usp=drivesdk","Ms. Dulari Shah-Clinical Toxicology")</f>
        <v xml:space="preserve">Ms. Dulari Shah-Clinical Toxicology</v>
      </c>
      <c r="I160" s="112" t="s">
        <v>832</v>
      </c>
    </row>
    <row r="161" ht="25.5" customHeight="1">
      <c r="A161" s="104" t="s">
        <v>809</v>
      </c>
      <c r="B161" s="105" t="s">
        <v>838</v>
      </c>
      <c r="C161" s="106" t="s">
        <v>839</v>
      </c>
      <c r="D161" s="107" t="s">
        <v>840</v>
      </c>
      <c r="E161" s="108">
        <v>46059</v>
      </c>
      <c r="F161" s="109" t="s">
        <v>841</v>
      </c>
      <c r="G161" s="110" t="s">
        <v>842</v>
      </c>
      <c r="H161" s="111" t="str">
        <f>HYPERLINK("https://drive.google.com/file/d/1vuC4kzHeyWFP7W-5GYtB71ehxWNcQvt5/view?usp=drivesdk","Dr. Apoorva Vaishnav-Pharmacoepidemiology and Pharmacoeconomics")</f>
        <v xml:space="preserve">Dr. Apoorva Vaishnav-Pharmacoepidemiology and Pharmacoeconomics</v>
      </c>
      <c r="I161" s="112" t="s">
        <v>832</v>
      </c>
    </row>
    <row r="162" ht="25.5" customHeight="1">
      <c r="A162" s="22" t="s">
        <v>843</v>
      </c>
      <c r="B162" s="113" t="s">
        <v>844</v>
      </c>
      <c r="C162" s="114" t="s">
        <v>845</v>
      </c>
      <c r="D162" s="115" t="s">
        <v>846</v>
      </c>
      <c r="E162" s="116">
        <v>46055</v>
      </c>
      <c r="F162" s="117" t="s">
        <v>847</v>
      </c>
      <c r="G162" s="118" t="s">
        <v>848</v>
      </c>
      <c r="H162" s="119" t="str">
        <f>HYPERLINK("https://drive.google.com/file/d/1Vnf_Gd689fVXahICarZhZVcdqOYwxszn/view?usp=drivesdk","Mr. Bhavik-Communication Skills")</f>
        <v xml:space="preserve">Mr. Bhavik-Communication Skills</v>
      </c>
      <c r="I162" s="120" t="s">
        <v>849</v>
      </c>
    </row>
    <row r="163" ht="25.5" customHeight="1">
      <c r="A163" s="22" t="s">
        <v>843</v>
      </c>
      <c r="B163" s="113" t="s">
        <v>850</v>
      </c>
      <c r="C163" s="114" t="s">
        <v>851</v>
      </c>
      <c r="D163" s="115" t="s">
        <v>852</v>
      </c>
      <c r="E163" s="116">
        <v>46055</v>
      </c>
      <c r="F163" s="117" t="s">
        <v>853</v>
      </c>
      <c r="G163" s="118" t="s">
        <v>854</v>
      </c>
      <c r="H163" s="119" t="str">
        <f>HYPERLINK("https://drive.google.com/file/d/1rWGveXfXcSoazhYBcIGH5rM3jY5J1i_3/view?usp=drivesdk","Dr. Sunil-Farming based livelihood systems")</f>
        <v xml:space="preserve">Dr. Sunil-Farming based livelihood systems</v>
      </c>
      <c r="I163" s="120" t="s">
        <v>849</v>
      </c>
    </row>
    <row r="164" ht="25.5" customHeight="1">
      <c r="A164" s="22" t="s">
        <v>843</v>
      </c>
      <c r="B164" s="113" t="s">
        <v>855</v>
      </c>
      <c r="C164" s="114" t="s">
        <v>856</v>
      </c>
      <c r="D164" s="115" t="s">
        <v>857</v>
      </c>
      <c r="E164" s="116">
        <v>46055</v>
      </c>
      <c r="F164" s="117" t="s">
        <v>858</v>
      </c>
      <c r="G164" s="118" t="s">
        <v>859</v>
      </c>
      <c r="H164" s="119" t="str">
        <f>HYPERLINK("https://drive.google.com/file/d/1n0IGABF2qko83ysB_gJOyDsNmc0bVinP/view?usp=drivesdk","Dr. Rutul-Fundamentals of Agronomy")</f>
        <v xml:space="preserve">Dr. Rutul-Fundamentals of Agronomy</v>
      </c>
      <c r="I164" s="120" t="s">
        <v>849</v>
      </c>
    </row>
    <row r="165" ht="25.5" customHeight="1">
      <c r="A165" s="22" t="s">
        <v>843</v>
      </c>
      <c r="B165" s="113" t="s">
        <v>860</v>
      </c>
      <c r="C165" s="114" t="s">
        <v>861</v>
      </c>
      <c r="D165" s="115" t="s">
        <v>862</v>
      </c>
      <c r="E165" s="116">
        <v>46055</v>
      </c>
      <c r="F165" s="117" t="s">
        <v>863</v>
      </c>
      <c r="G165" s="118" t="s">
        <v>864</v>
      </c>
      <c r="H165" s="119" t="str">
        <f>HYPERLINK("https://drive.google.com/file/d/1LArfLOeCmHb5nh78KJYMNgiAhRkApOYP/view?usp=drivesdk","Dr. Ronak-Fundamentals of Horticulture")</f>
        <v xml:space="preserve">Dr. Ronak-Fundamentals of Horticulture</v>
      </c>
      <c r="I165" s="120" t="s">
        <v>849</v>
      </c>
    </row>
    <row r="166" ht="25.5" customHeight="1">
      <c r="A166" s="22" t="s">
        <v>843</v>
      </c>
      <c r="B166" s="113" t="s">
        <v>865</v>
      </c>
      <c r="C166" s="114" t="s">
        <v>866</v>
      </c>
      <c r="D166" s="115" t="s">
        <v>867</v>
      </c>
      <c r="E166" s="116">
        <v>46055</v>
      </c>
      <c r="F166" s="117" t="s">
        <v>868</v>
      </c>
      <c r="G166" s="118" t="s">
        <v>869</v>
      </c>
      <c r="H166" s="119" t="str">
        <f>HYPERLINK("https://drive.google.com/file/d/1sOcYXh44s39vzXtjEhd1TCpvstgmjJ8X/view?usp=drivesdk","Dr. Mayur-Fundamentals of Nematology")</f>
        <v xml:space="preserve">Dr. Mayur-Fundamentals of Nematology</v>
      </c>
      <c r="I166" s="120" t="s">
        <v>849</v>
      </c>
    </row>
    <row r="167" ht="25.5" customHeight="1">
      <c r="A167" s="22" t="s">
        <v>843</v>
      </c>
      <c r="B167" s="113" t="s">
        <v>870</v>
      </c>
      <c r="C167" s="114" t="s">
        <v>871</v>
      </c>
      <c r="D167" s="115" t="s">
        <v>872</v>
      </c>
      <c r="E167" s="116">
        <v>46055</v>
      </c>
      <c r="F167" s="117" t="s">
        <v>873</v>
      </c>
      <c r="G167" s="118" t="s">
        <v>874</v>
      </c>
      <c r="H167" s="119" t="str">
        <f>HYPERLINK("https://drive.google.com/file/d/1LeSZpc1l-jD57jCqonYVUJkeAJM9F4r-/view?usp=drivesdk","Mr.Dixit Mistry-Farm Machinery and Power")</f>
        <v xml:space="preserve">Mr.Dixit Mistry-Farm Machinery and Power</v>
      </c>
      <c r="I167" s="120" t="s">
        <v>875</v>
      </c>
    </row>
    <row r="168" ht="25.5" customHeight="1">
      <c r="A168" s="22" t="s">
        <v>843</v>
      </c>
      <c r="B168" s="113" t="s">
        <v>850</v>
      </c>
      <c r="C168" s="114" t="s">
        <v>876</v>
      </c>
      <c r="D168" s="115" t="s">
        <v>877</v>
      </c>
      <c r="E168" s="116">
        <v>46055</v>
      </c>
      <c r="F168" s="117" t="s">
        <v>878</v>
      </c>
      <c r="G168" s="118" t="s">
        <v>879</v>
      </c>
      <c r="H168" s="119" t="str">
        <f>HYPERLINK("https://drive.google.com/file/d/1GTO1aw8IcrPVFnfGbrhbq2SYG7nxfiOw/view?usp=drivesdk","Dr. Sunil-Water Management")</f>
        <v xml:space="preserve">Dr. Sunil-Water Management</v>
      </c>
      <c r="I168" s="120" t="s">
        <v>875</v>
      </c>
    </row>
    <row r="169" ht="25.5" customHeight="1">
      <c r="A169" s="22" t="s">
        <v>843</v>
      </c>
      <c r="B169" s="113" t="s">
        <v>880</v>
      </c>
      <c r="C169" s="114" t="s">
        <v>881</v>
      </c>
      <c r="D169" s="115" t="s">
        <v>882</v>
      </c>
      <c r="E169" s="116">
        <v>46055</v>
      </c>
      <c r="F169" s="117" t="s">
        <v>883</v>
      </c>
      <c r="G169" s="118" t="s">
        <v>884</v>
      </c>
      <c r="H169" s="119" t="str">
        <f>HYPERLINK("https://drive.google.com/file/d/1VF2_n-hXUqdyJkPn4OPuwo0cqKT1wYge/view?usp=drivesdk","Dr. Roma-Insect Ecology and Integrated Pest Management")</f>
        <v xml:space="preserve">Dr. Roma-Insect Ecology and Integrated Pest Management</v>
      </c>
      <c r="I169" s="120" t="s">
        <v>875</v>
      </c>
    </row>
    <row r="170" ht="25.5" customHeight="1">
      <c r="A170" s="22" t="s">
        <v>843</v>
      </c>
      <c r="B170" s="113" t="s">
        <v>885</v>
      </c>
      <c r="C170" s="114" t="s">
        <v>886</v>
      </c>
      <c r="D170" s="115" t="s">
        <v>887</v>
      </c>
      <c r="E170" s="116">
        <v>46055</v>
      </c>
      <c r="F170" s="117" t="s">
        <v>888</v>
      </c>
      <c r="G170" s="118" t="s">
        <v>889</v>
      </c>
      <c r="H170" s="119" t="str">
        <f>HYPERLINK("https://drive.google.com/file/d/14KYbSp5deUFQaeforHKVlKUiYVh3sfQY/view?usp=drivesdk","Dr. Apexa-Weed Management")</f>
        <v xml:space="preserve">Dr. Apexa-Weed Management</v>
      </c>
      <c r="I170" s="120" t="s">
        <v>875</v>
      </c>
    </row>
    <row r="171" ht="25.5" customHeight="1">
      <c r="A171" s="22" t="s">
        <v>843</v>
      </c>
      <c r="B171" s="113" t="s">
        <v>890</v>
      </c>
      <c r="C171" s="114" t="s">
        <v>891</v>
      </c>
      <c r="D171" s="115" t="s">
        <v>892</v>
      </c>
      <c r="E171" s="116">
        <v>46055</v>
      </c>
      <c r="F171" s="117" t="s">
        <v>893</v>
      </c>
      <c r="G171" s="118" t="s">
        <v>894</v>
      </c>
      <c r="H171" s="119" t="str">
        <f>HYPERLINK("https://drive.google.com/file/d/1zMiVLBtDcV13gDI3bquTeXW2YSC1thrT/view?usp=drivesdk","Mr. Tariq-Fundamentals of Agri Biotechnology")</f>
        <v xml:space="preserve">Mr. Tariq-Fundamentals of Agri Biotechnology</v>
      </c>
      <c r="I171" s="120" t="s">
        <v>875</v>
      </c>
    </row>
    <row r="172" ht="25.5" customHeight="1">
      <c r="A172" s="22" t="s">
        <v>843</v>
      </c>
      <c r="B172" s="113" t="s">
        <v>895</v>
      </c>
      <c r="C172" s="121" t="s">
        <v>896</v>
      </c>
      <c r="D172" s="122" t="s">
        <v>897</v>
      </c>
      <c r="E172" s="123">
        <v>46055</v>
      </c>
      <c r="F172" s="117" t="s">
        <v>898</v>
      </c>
      <c r="G172" s="118" t="s">
        <v>899</v>
      </c>
      <c r="H172" s="119" t="str">
        <f>HYPERLINK("https://drive.google.com/file/d/1P-X0-kHiBQhQ-rPJ_Wpd_fqxy0BpN-c5/view?usp=drivesdk","Dr. Saleha-Essentials of Plant Biochemistry")</f>
        <v xml:space="preserve">Dr. Saleha-Essentials of Plant Biochemistry</v>
      </c>
      <c r="I172" s="120" t="s">
        <v>875</v>
      </c>
    </row>
    <row r="173" ht="25.5" customHeight="1">
      <c r="A173" s="22" t="s">
        <v>900</v>
      </c>
      <c r="B173" s="124" t="s">
        <v>901</v>
      </c>
      <c r="C173" s="125" t="s">
        <v>902</v>
      </c>
      <c r="D173" s="126" t="s">
        <v>903</v>
      </c>
      <c r="E173" s="127">
        <v>46119</v>
      </c>
      <c r="F173" s="128" t="s">
        <v>904</v>
      </c>
      <c r="G173" s="129" t="s">
        <v>905</v>
      </c>
      <c r="H173" s="130" t="str">
        <f>HYPERLINK("https://drive.google.com/file/d/19Ng6brw4ManvAtgNkq19GI8nq2IO4iJe/view?usp=drivesdk","Ms.Akshara -Basics of Forensic Chemical Sciences")</f>
        <v xml:space="preserve">Ms.Akshara -Basics of Forensic Chemical Sciences</v>
      </c>
      <c r="I173" s="131" t="s">
        <v>906</v>
      </c>
    </row>
    <row r="174" ht="25.5" customHeight="1">
      <c r="A174" s="22" t="s">
        <v>900</v>
      </c>
      <c r="B174" s="124" t="s">
        <v>907</v>
      </c>
      <c r="C174" s="125" t="s">
        <v>908</v>
      </c>
      <c r="D174" s="126" t="s">
        <v>909</v>
      </c>
      <c r="E174" s="127">
        <v>46044</v>
      </c>
      <c r="F174" s="128" t="s">
        <v>910</v>
      </c>
      <c r="G174" s="129" t="s">
        <v>911</v>
      </c>
      <c r="H174" s="130" t="str">
        <f>HYPERLINK("https://drive.google.com/file/d/1OSUvKkU15Cgn6BYIeVuCRz2wnCA_mU6T/view?usp=drivesdk","Dr. Debesh-Forensic Anthropology &amp; Odontology")</f>
        <v xml:space="preserve">Dr. Debesh-Forensic Anthropology &amp; Odontology</v>
      </c>
      <c r="I174" s="131" t="s">
        <v>906</v>
      </c>
    </row>
    <row r="175" ht="25.5" customHeight="1">
      <c r="A175" s="22" t="s">
        <v>900</v>
      </c>
      <c r="B175" s="124" t="s">
        <v>912</v>
      </c>
      <c r="C175" s="125" t="s">
        <v>913</v>
      </c>
      <c r="D175" s="126" t="s">
        <v>914</v>
      </c>
      <c r="E175" s="127">
        <v>46044</v>
      </c>
      <c r="F175" s="128" t="s">
        <v>915</v>
      </c>
      <c r="G175" s="129" t="s">
        <v>916</v>
      </c>
      <c r="H175" s="130" t="str">
        <f>HYPERLINK("https://drive.google.com/file/d/1JsQcL6eJ6M3-L_1lMltLYevoD91O36pF/view?usp=drivesdk","Dr. Amit Chauhan-Criminology, Criminal law and Police organization")</f>
        <v xml:space="preserve">Dr. Amit Chauhan-Criminology, Criminal law and Police organization</v>
      </c>
      <c r="I175" s="131" t="s">
        <v>906</v>
      </c>
    </row>
    <row r="176" ht="25.5" customHeight="1">
      <c r="A176" s="22" t="s">
        <v>900</v>
      </c>
      <c r="B176" s="124" t="s">
        <v>917</v>
      </c>
      <c r="C176" s="125" t="s">
        <v>918</v>
      </c>
      <c r="D176" s="126" t="s">
        <v>919</v>
      </c>
      <c r="E176" s="127">
        <v>46044</v>
      </c>
      <c r="F176" s="128" t="s">
        <v>920</v>
      </c>
      <c r="G176" s="129" t="s">
        <v>921</v>
      </c>
      <c r="H176" s="130" t="str">
        <f>HYPERLINK("https://drive.google.com/file/d/1xhgosKNRhaFRYUZkzU0zJFlmoUUsd-FG/view?usp=drivesdk","Ms. Tikshata-Questioned Documents and Fraud Investigation")</f>
        <v xml:space="preserve">Ms. Tikshata-Questioned Documents and Fraud Investigation</v>
      </c>
      <c r="I176" s="131" t="s">
        <v>906</v>
      </c>
    </row>
    <row r="177" ht="25.5" customHeight="1">
      <c r="A177" s="22" t="s">
        <v>900</v>
      </c>
      <c r="B177" s="124" t="s">
        <v>922</v>
      </c>
      <c r="C177" s="125" t="s">
        <v>923</v>
      </c>
      <c r="D177" s="126" t="s">
        <v>924</v>
      </c>
      <c r="E177" s="127">
        <v>46044</v>
      </c>
      <c r="F177" s="128" t="s">
        <v>925</v>
      </c>
      <c r="G177" s="129" t="s">
        <v>926</v>
      </c>
      <c r="H177" s="130" t="str">
        <f>HYPERLINK("https://drive.google.com/file/d/1WADXewh_9wBigkLFUh24uDT7xdOdxYuA/view?usp=drivesdk","Ms. Komal-Forensic Investigation; tools and Techniques")</f>
        <v xml:space="preserve">Ms. Komal-Forensic Investigation; tools and Techniques</v>
      </c>
      <c r="I177" s="131" t="s">
        <v>906</v>
      </c>
    </row>
    <row r="178" ht="25.5" customHeight="1">
      <c r="A178" s="22" t="s">
        <v>900</v>
      </c>
      <c r="B178" s="124" t="s">
        <v>907</v>
      </c>
      <c r="C178" s="125" t="s">
        <v>927</v>
      </c>
      <c r="D178" s="126" t="s">
        <v>928</v>
      </c>
      <c r="E178" s="127">
        <v>46044</v>
      </c>
      <c r="F178" s="128" t="s">
        <v>929</v>
      </c>
      <c r="G178" s="129" t="s">
        <v>930</v>
      </c>
      <c r="H178" s="130" t="str">
        <f>HYPERLINK("https://drive.google.com/file/d/1GBMWk_-sP33Nsu03rXBCjlVqeciUQtb-/view?usp=drivesdk","Dr. Debesh-Advancement in Forensic Science")</f>
        <v xml:space="preserve">Dr. Debesh-Advancement in Forensic Science</v>
      </c>
      <c r="I178" s="131" t="s">
        <v>931</v>
      </c>
    </row>
    <row r="179" ht="25.5" customHeight="1">
      <c r="A179" s="22" t="s">
        <v>900</v>
      </c>
      <c r="B179" s="124" t="s">
        <v>932</v>
      </c>
      <c r="C179" s="132" t="s">
        <v>933</v>
      </c>
      <c r="D179" s="126" t="s">
        <v>934</v>
      </c>
      <c r="E179" s="127">
        <v>46044</v>
      </c>
      <c r="F179" s="128" t="s">
        <v>935</v>
      </c>
      <c r="G179" s="129" t="s">
        <v>936</v>
      </c>
      <c r="H179" s="130" t="str">
        <f>HYPERLINK("https://drive.google.com/file/d/1LdMgNY7PAaguHSQ1sUetDXc569cCpRSd/view?usp=drivesdk","Ms. Smita das-Forensic Anthropology ")</f>
        <v xml:space="preserve">Ms. Smita das-Forensic Anthropology </v>
      </c>
      <c r="I179" s="131" t="s">
        <v>931</v>
      </c>
    </row>
    <row r="180" ht="25.5" customHeight="1">
      <c r="A180" s="22" t="s">
        <v>900</v>
      </c>
      <c r="B180" s="124" t="s">
        <v>937</v>
      </c>
      <c r="C180" s="132" t="s">
        <v>938</v>
      </c>
      <c r="D180" s="126" t="s">
        <v>939</v>
      </c>
      <c r="E180" s="127">
        <v>46044</v>
      </c>
      <c r="F180" s="128" t="s">
        <v>940</v>
      </c>
      <c r="G180" s="129" t="s">
        <v>941</v>
      </c>
      <c r="H180" s="130" t="str">
        <f>HYPERLINK("https://drive.google.com/file/d/1fU34W5S8POAFrtdM_bakKLLxy9ql4ZOF/view?usp=drivesdk","Mr. Karan -Digital and Cyber Forensic Science ")</f>
        <v xml:space="preserve">Mr. Karan -Digital and Cyber Forensic Science </v>
      </c>
      <c r="I180" s="131" t="s">
        <v>931</v>
      </c>
    </row>
    <row r="181" ht="25.5" customHeight="1">
      <c r="A181" s="22" t="s">
        <v>900</v>
      </c>
      <c r="B181" s="124" t="s">
        <v>942</v>
      </c>
      <c r="C181" s="132" t="s">
        <v>943</v>
      </c>
      <c r="D181" s="133" t="s">
        <v>944</v>
      </c>
      <c r="E181" s="134">
        <v>46119</v>
      </c>
      <c r="F181" s="128" t="s">
        <v>945</v>
      </c>
      <c r="G181" s="129" t="s">
        <v>946</v>
      </c>
      <c r="H181" s="130" t="str">
        <f>HYPERLINK("https://drive.google.com/file/d/1MmYPUpjGD1lLpWB6j2aDKw6Q1_-J3x2X/view?usp=drivesdk","Ms. Shaile Thakur-Forensic Science Instrumentation")</f>
        <v xml:space="preserve">Ms. Shaile Thakur-Forensic Science Instrumentation</v>
      </c>
      <c r="I181" s="131" t="s">
        <v>931</v>
      </c>
    </row>
    <row r="182" ht="25.5" customHeight="1">
      <c r="A182" s="22" t="s">
        <v>900</v>
      </c>
      <c r="B182" s="124" t="s">
        <v>947</v>
      </c>
      <c r="C182" s="132" t="s">
        <v>948</v>
      </c>
      <c r="D182" s="126" t="s">
        <v>949</v>
      </c>
      <c r="E182" s="127">
        <v>46044</v>
      </c>
      <c r="F182" s="128" t="s">
        <v>950</v>
      </c>
      <c r="G182" s="129" t="s">
        <v>951</v>
      </c>
      <c r="H182" s="130" t="str">
        <f>HYPERLINK("https://drive.google.com/file/d/1i9fctB4ExLr1NP_qkiL9-dK3XBzjWCff/view?usp=drivesdk","Ms. Sheetal-Advancemed intrumentation in forensic Chemical Sciences")</f>
        <v xml:space="preserve">Ms. Sheetal-Advancemed intrumentation in forensic Chemical Sciences</v>
      </c>
      <c r="I182" s="131" t="s">
        <v>931</v>
      </c>
    </row>
    <row r="183" ht="25.5" customHeight="1">
      <c r="A183" s="22" t="s">
        <v>900</v>
      </c>
      <c r="B183" s="124" t="s">
        <v>952</v>
      </c>
      <c r="C183" s="132" t="s">
        <v>953</v>
      </c>
      <c r="D183" s="126" t="s">
        <v>954</v>
      </c>
      <c r="E183" s="127">
        <v>46044</v>
      </c>
      <c r="F183" s="128" t="s">
        <v>955</v>
      </c>
      <c r="G183" s="129" t="s">
        <v>956</v>
      </c>
      <c r="H183" s="130" t="str">
        <f>HYPERLINK("https://drive.google.com/file/d/1F44P0RyO2Tuf7J8AMB4ZH8nNG0uXIF9p/view?usp=drivesdk","Ms. Akshara-Advaced concepts of Forensiix chemistry and Narcotics")</f>
        <v xml:space="preserve">Ms. Akshara-Advaced concepts of Forensiix chemistry and Narcotics</v>
      </c>
      <c r="I183" s="131" t="s">
        <v>957</v>
      </c>
    </row>
    <row r="184" ht="25.5" customHeight="1">
      <c r="A184" s="22" t="s">
        <v>900</v>
      </c>
      <c r="B184" s="124" t="s">
        <v>958</v>
      </c>
      <c r="C184" s="132" t="s">
        <v>959</v>
      </c>
      <c r="D184" s="126" t="s">
        <v>960</v>
      </c>
      <c r="E184" s="127">
        <v>46044</v>
      </c>
      <c r="F184" s="128" t="s">
        <v>961</v>
      </c>
      <c r="G184" s="129" t="s">
        <v>962</v>
      </c>
      <c r="H184" s="130" t="str">
        <f>HYPERLINK("https://drive.google.com/file/d/1NpM516V7kw5uAuzLr8uLefOr8Hkp0Ibz/view?usp=drivesdk","Ms. Shivangi-Advanced concepts of Biology and Instrumentation in biological Sceinces")</f>
        <v xml:space="preserve">Ms. Shivangi-Advanced concepts of Biology and Instrumentation in biological Sceinces</v>
      </c>
      <c r="I184" s="131" t="s">
        <v>957</v>
      </c>
    </row>
    <row r="185" ht="25.5" customHeight="1">
      <c r="A185" s="22" t="s">
        <v>900</v>
      </c>
      <c r="B185" s="124" t="s">
        <v>958</v>
      </c>
      <c r="C185" s="132" t="s">
        <v>963</v>
      </c>
      <c r="D185" s="126" t="s">
        <v>964</v>
      </c>
      <c r="E185" s="127">
        <v>46044</v>
      </c>
      <c r="F185" s="128" t="s">
        <v>965</v>
      </c>
      <c r="G185" s="129" t="s">
        <v>966</v>
      </c>
      <c r="H185" s="130" t="str">
        <f>HYPERLINK("https://drive.google.com/file/d/1hES5asLKXrO3vUyrMhU4yn-jkzD4Oyn2/view?usp=drivesdk","Ms. Shivangi-Advanced concepts of forensic Biology, serology and wild life Forensics")</f>
        <v xml:space="preserve">Ms. Shivangi-Advanced concepts of forensic Biology, serology and wild life Forensics</v>
      </c>
      <c r="I185" s="131" t="s">
        <v>957</v>
      </c>
    </row>
    <row r="186" ht="25.5" customHeight="1">
      <c r="A186" s="22" t="s">
        <v>900</v>
      </c>
      <c r="B186" s="124" t="s">
        <v>947</v>
      </c>
      <c r="C186" s="132" t="s">
        <v>967</v>
      </c>
      <c r="D186" s="126" t="s">
        <v>968</v>
      </c>
      <c r="E186" s="127">
        <v>46044</v>
      </c>
      <c r="F186" s="128" t="s">
        <v>969</v>
      </c>
      <c r="G186" s="129" t="s">
        <v>970</v>
      </c>
      <c r="H186" s="130" t="str">
        <f>HYPERLINK("https://drive.google.com/file/d/1Bx8eIjsn2UbD-Eebh-HRXGc_WzEk5wAn/view?usp=drivesdk","Ms. Sheetal-Advanced Instrumentation in Physical Science")</f>
        <v xml:space="preserve">Ms. Sheetal-Advanced Instrumentation in Physical Science</v>
      </c>
      <c r="I186" s="131" t="s">
        <v>957</v>
      </c>
    </row>
    <row r="187" ht="25.5" customHeight="1">
      <c r="A187" s="22" t="s">
        <v>900</v>
      </c>
      <c r="B187" s="124" t="s">
        <v>922</v>
      </c>
      <c r="C187" s="132" t="s">
        <v>971</v>
      </c>
      <c r="D187" s="126" t="s">
        <v>972</v>
      </c>
      <c r="E187" s="127">
        <v>46044</v>
      </c>
      <c r="F187" s="128" t="s">
        <v>973</v>
      </c>
      <c r="G187" s="129" t="s">
        <v>974</v>
      </c>
      <c r="H187" s="130" t="str">
        <f>HYPERLINK("https://drive.google.com/file/d/1_gLy1A1k3IzWX8sPqxNeMaHtDPmlby8T/view?usp=drivesdk","Ms. Komal-Advanced concepts of Questioned Documents examination")</f>
        <v xml:space="preserve">Ms. Komal-Advanced concepts of Questioned Documents examination</v>
      </c>
      <c r="I187" s="131" t="s">
        <v>957</v>
      </c>
    </row>
    <row r="188" ht="25.5" customHeight="1">
      <c r="A188" s="22" t="s">
        <v>900</v>
      </c>
      <c r="B188" s="124" t="s">
        <v>922</v>
      </c>
      <c r="C188" s="132" t="s">
        <v>975</v>
      </c>
      <c r="D188" s="126" t="s">
        <v>976</v>
      </c>
      <c r="E188" s="127">
        <v>46044</v>
      </c>
      <c r="F188" s="128" t="s">
        <v>977</v>
      </c>
      <c r="G188" s="129" t="s">
        <v>978</v>
      </c>
      <c r="H188" s="130" t="str">
        <f>HYPERLINK("https://drive.google.com/file/d/129xvh4OCvFENvZdEzfEk240CcJAe8lgI/view?usp=drivesdk","Ms. Komal-Advanced concepts of Fingerprint examiation and Photography")</f>
        <v xml:space="preserve">Ms. Komal-Advanced concepts of Fingerprint examiation and Photography</v>
      </c>
      <c r="I188" s="131" t="s">
        <v>957</v>
      </c>
    </row>
    <row r="189" ht="25.5" customHeight="1">
      <c r="A189" s="22" t="s">
        <v>900</v>
      </c>
      <c r="B189" s="124" t="s">
        <v>937</v>
      </c>
      <c r="C189" s="132" t="s">
        <v>979</v>
      </c>
      <c r="D189" s="126" t="s">
        <v>980</v>
      </c>
      <c r="E189" s="127">
        <v>46044</v>
      </c>
      <c r="F189" s="128" t="s">
        <v>981</v>
      </c>
      <c r="G189" s="129" t="s">
        <v>982</v>
      </c>
      <c r="H189" s="130" t="str">
        <f>HYPERLINK("https://drive.google.com/file/d/1eUj4GMYEnEy-XeLET7dqkbmbju8N6Mq-/view?usp=drivesdk","Mr. Karan -Advanced instrumentation in digital Forensics")</f>
        <v xml:space="preserve">Mr. Karan -Advanced instrumentation in digital Forensics</v>
      </c>
      <c r="I189" s="131" t="s">
        <v>983</v>
      </c>
    </row>
    <row r="190" ht="25.5" customHeight="1">
      <c r="A190" s="22" t="s">
        <v>900</v>
      </c>
      <c r="B190" s="124" t="s">
        <v>937</v>
      </c>
      <c r="C190" s="132" t="s">
        <v>984</v>
      </c>
      <c r="D190" s="126" t="s">
        <v>985</v>
      </c>
      <c r="E190" s="127">
        <v>46044</v>
      </c>
      <c r="F190" s="128" t="s">
        <v>986</v>
      </c>
      <c r="G190" s="129" t="s">
        <v>987</v>
      </c>
      <c r="H190" s="130" t="str">
        <f>HYPERLINK("https://drive.google.com/file/d/1iIC_Ms2xqUgQ7aWpqCZivM2j2GjziWvO/view?usp=drivesdk","Mr. Karan -Reverse engineering and Malware analysis")</f>
        <v xml:space="preserve">Mr. Karan -Reverse engineering and Malware analysis</v>
      </c>
      <c r="I190" s="131" t="s">
        <v>983</v>
      </c>
    </row>
    <row r="191" ht="25.5" customHeight="1">
      <c r="A191" s="22" t="s">
        <v>900</v>
      </c>
      <c r="B191" s="124" t="s">
        <v>988</v>
      </c>
      <c r="C191" s="125" t="s">
        <v>989</v>
      </c>
      <c r="D191" s="126" t="s">
        <v>990</v>
      </c>
      <c r="E191" s="127">
        <v>46006</v>
      </c>
      <c r="F191" s="128" t="s">
        <v>991</v>
      </c>
      <c r="G191" s="129" t="s">
        <v>992</v>
      </c>
      <c r="H191" s="130" t="str">
        <f>HYPERLINK("https://drive.google.com/file/d/1Kws5rAEpQ7SYdQpnp3GSAg4KYwg9dAkK/view?usp=drivesdk","Dr. Papu Kumar Naik-Research Methodology, Scientific Writing and Statistical Techniques")</f>
        <v xml:space="preserve">Dr. Papu Kumar Naik-Research Methodology, Scientific Writing and Statistical Techniques</v>
      </c>
      <c r="I191" s="131" t="s">
        <v>983</v>
      </c>
    </row>
    <row r="192" ht="25.5" customHeight="1">
      <c r="A192" s="22" t="s">
        <v>900</v>
      </c>
      <c r="B192" s="124" t="s">
        <v>993</v>
      </c>
      <c r="C192" s="132" t="s">
        <v>994</v>
      </c>
      <c r="D192" s="126" t="s">
        <v>995</v>
      </c>
      <c r="E192" s="127">
        <v>46006</v>
      </c>
      <c r="F192" s="128" t="s">
        <v>996</v>
      </c>
      <c r="G192" s="129" t="s">
        <v>997</v>
      </c>
      <c r="H192" s="130" t="str">
        <f>HYPERLINK("https://drive.google.com/file/d/1dMf9fCdDO0jMie9YGcrltPpMI-1lHHVt/view?usp=drivesdk","Dr. Vivek Mishra-Petroleum and Coal Geology")</f>
        <v xml:space="preserve">Dr. Vivek Mishra-Petroleum and Coal Geology</v>
      </c>
      <c r="I192" s="131" t="s">
        <v>983</v>
      </c>
    </row>
    <row r="193" ht="25.5" customHeight="1">
      <c r="A193" s="22" t="s">
        <v>900</v>
      </c>
      <c r="B193" s="124" t="s">
        <v>998</v>
      </c>
      <c r="C193" s="132" t="s">
        <v>999</v>
      </c>
      <c r="D193" s="126" t="s">
        <v>1000</v>
      </c>
      <c r="E193" s="127">
        <v>46006</v>
      </c>
      <c r="F193" s="128" t="s">
        <v>1001</v>
      </c>
      <c r="G193" s="129" t="s">
        <v>1002</v>
      </c>
      <c r="H193" s="130" t="str">
        <f>HYPERLINK("https://drive.google.com/file/d/10NKv0ZdsE9EnuC1E1sGsfk7Wpa3ZwLz_/view?usp=drivesdk","Dr. Apurva Sharma-Solid Waste Management")</f>
        <v xml:space="preserve">Dr. Apurva Sharma-Solid Waste Management</v>
      </c>
      <c r="I193" s="131" t="s">
        <v>983</v>
      </c>
    </row>
    <row r="194" ht="25.5" customHeight="1">
      <c r="A194" s="22" t="s">
        <v>900</v>
      </c>
      <c r="B194" s="124" t="s">
        <v>1003</v>
      </c>
      <c r="C194" s="132" t="s">
        <v>1004</v>
      </c>
      <c r="D194" s="126" t="s">
        <v>1005</v>
      </c>
      <c r="E194" s="127">
        <v>46006</v>
      </c>
      <c r="F194" s="128" t="s">
        <v>1006</v>
      </c>
      <c r="G194" s="129" t="s">
        <v>1007</v>
      </c>
      <c r="H194" s="130" t="str">
        <f>HYPERLINK("https://drive.google.com/file/d/1WbO8bLQxFadmypBOHMC-nY-aReqc3pEY/view?usp=drivesdk","Ms. Malvika Gohil -Remote Sensing and GIS")</f>
        <v xml:space="preserve">Ms. Malvika Gohil -Remote Sensing and GIS</v>
      </c>
      <c r="I194" s="131" t="s">
        <v>983</v>
      </c>
    </row>
    <row r="195" ht="25.5" customHeight="1">
      <c r="A195" s="22" t="s">
        <v>900</v>
      </c>
      <c r="B195" s="124" t="s">
        <v>1008</v>
      </c>
      <c r="C195" s="132" t="s">
        <v>1009</v>
      </c>
      <c r="D195" s="126" t="s">
        <v>1010</v>
      </c>
      <c r="E195" s="127">
        <v>46006</v>
      </c>
      <c r="F195" s="128" t="s">
        <v>1011</v>
      </c>
      <c r="G195" s="129" t="s">
        <v>1012</v>
      </c>
      <c r="H195" s="130" t="str">
        <f>HYPERLINK("https://drive.google.com/file/d/1c_17CWdpYf4ZobB-aPQtcnfATZrkaWCW/view?usp=drivesdk","Dr. Parul Maurya-Disaster Management")</f>
        <v xml:space="preserve">Dr. Parul Maurya-Disaster Management</v>
      </c>
      <c r="I195" s="131" t="s">
        <v>1013</v>
      </c>
    </row>
    <row r="196" ht="25.5" customHeight="1">
      <c r="A196" s="22" t="s">
        <v>900</v>
      </c>
      <c r="B196" s="124" t="s">
        <v>1014</v>
      </c>
      <c r="C196" s="132" t="s">
        <v>1015</v>
      </c>
      <c r="D196" s="126" t="s">
        <v>1016</v>
      </c>
      <c r="E196" s="127">
        <v>46006</v>
      </c>
      <c r="F196" s="128" t="s">
        <v>1017</v>
      </c>
      <c r="G196" s="135" t="s">
        <v>1018</v>
      </c>
      <c r="H196" s="130" t="str">
        <f>HYPERLINK("https://drive.google.com/file/d/18UfMjgzVQ0Qs5gyAlzsAK3z2GvM4MkpJ/view?usp=drivesdk","Dr Husain Shabbar-Paleontology")</f>
        <v xml:space="preserve">Dr Husain Shabbar-Paleontology</v>
      </c>
      <c r="I196" s="131" t="s">
        <v>1013</v>
      </c>
    </row>
    <row r="197" ht="25.5" customHeight="1">
      <c r="A197" s="22" t="s">
        <v>900</v>
      </c>
      <c r="B197" s="124" t="s">
        <v>1019</v>
      </c>
      <c r="C197" s="132" t="s">
        <v>1020</v>
      </c>
      <c r="D197" s="126" t="s">
        <v>1021</v>
      </c>
      <c r="E197" s="127">
        <v>46006</v>
      </c>
      <c r="F197" s="128" t="s">
        <v>1022</v>
      </c>
      <c r="G197" s="129" t="s">
        <v>1023</v>
      </c>
      <c r="H197" s="130" t="str">
        <f>HYPERLINK("https://drive.google.com/file/d/1GbkwcAx1SOWfG9-WZZk-nfDApd0mKNLr/view?usp=drivesdk","Dr. Sumit Pathak-Structural Geology &amp; Tectonics")</f>
        <v xml:space="preserve">Dr. Sumit Pathak-Structural Geology &amp; Tectonics</v>
      </c>
      <c r="I197" s="131" t="s">
        <v>1013</v>
      </c>
    </row>
    <row r="198" ht="25.5" customHeight="1">
      <c r="A198" s="22" t="s">
        <v>900</v>
      </c>
      <c r="B198" s="124" t="s">
        <v>1024</v>
      </c>
      <c r="C198" s="132" t="s">
        <v>1025</v>
      </c>
      <c r="D198" s="126" t="s">
        <v>1026</v>
      </c>
      <c r="E198" s="127">
        <v>46006</v>
      </c>
      <c r="F198" s="128" t="s">
        <v>1027</v>
      </c>
      <c r="G198" s="129" t="s">
        <v>1028</v>
      </c>
      <c r="H198" s="130" t="str">
        <f>HYPERLINK("https://drive.google.com/file/d/1Yx6W70J97mk5Kyom_2kfvYNjDrxVxhFR/view?usp=drivesdk","Dr. Nikhil Savio-Environmental Hazards and Disaster Management ")</f>
        <v xml:space="preserve">Dr. Nikhil Savio-Environmental Hazards and Disaster Management </v>
      </c>
      <c r="I198" s="131" t="s">
        <v>1013</v>
      </c>
    </row>
    <row r="199" ht="25.5" customHeight="1">
      <c r="A199" s="22" t="s">
        <v>900</v>
      </c>
      <c r="B199" s="124" t="s">
        <v>1029</v>
      </c>
      <c r="C199" s="132" t="s">
        <v>1030</v>
      </c>
      <c r="D199" s="126" t="s">
        <v>1031</v>
      </c>
      <c r="E199" s="127">
        <v>46006</v>
      </c>
      <c r="F199" s="128" t="s">
        <v>1032</v>
      </c>
      <c r="G199" s="129" t="s">
        <v>1033</v>
      </c>
      <c r="H199" s="130" t="str">
        <f>HYPERLINK("https://drive.google.com/file/d/1LaV0oolQAX1M-SAfsTlHsIZwptE_fn6q/view?usp=drivesdk","Dr. Jalpa Jadeja-Biodiversity &amp; Conservation")</f>
        <v xml:space="preserve">Dr. Jalpa Jadeja-Biodiversity &amp; Conservation</v>
      </c>
      <c r="I199" s="131" t="s">
        <v>1013</v>
      </c>
    </row>
    <row r="200" ht="25.5" customHeight="1">
      <c r="A200" s="22" t="s">
        <v>900</v>
      </c>
      <c r="B200" s="124" t="s">
        <v>1034</v>
      </c>
      <c r="C200" s="132" t="s">
        <v>1035</v>
      </c>
      <c r="D200" s="126" t="s">
        <v>1036</v>
      </c>
      <c r="E200" s="127">
        <v>46006</v>
      </c>
      <c r="F200" s="128" t="s">
        <v>1037</v>
      </c>
      <c r="G200" s="129" t="s">
        <v>1038</v>
      </c>
      <c r="H200" s="130" t="str">
        <f>HYPERLINK("https://drive.google.com/file/d/1JdgVFYjUb7C710n9p33XIfo3PuucXnh2/view?usp=drivesdk","Dr. Pankaj Kumar-Advanced Monitoring and Analytical Techniques for Environmental Science")</f>
        <v xml:space="preserve">Dr. Pankaj Kumar-Advanced Monitoring and Analytical Techniques for Environmental Science</v>
      </c>
      <c r="I200" s="131" t="s">
        <v>1013</v>
      </c>
    </row>
    <row r="201" ht="25.5" customHeight="1">
      <c r="A201" s="22" t="s">
        <v>900</v>
      </c>
      <c r="B201" s="124" t="s">
        <v>1039</v>
      </c>
      <c r="C201" s="132" t="s">
        <v>1040</v>
      </c>
      <c r="D201" s="126" t="s">
        <v>1041</v>
      </c>
      <c r="E201" s="127">
        <v>46063</v>
      </c>
      <c r="F201" s="128" t="s">
        <v>1042</v>
      </c>
      <c r="G201" s="129" t="s">
        <v>1043</v>
      </c>
      <c r="H201" s="130" t="str">
        <f>HYPERLINK("https://drive.google.com/file/d/1Tuj1RTJxA7guHuQ2QW5-ilLBSGm4kJPa/view?usp=drivesdk","Dr. Hiral Gaud-Cell Biology")</f>
        <v xml:space="preserve">Dr. Hiral Gaud-Cell Biology</v>
      </c>
      <c r="I201" s="131" t="s">
        <v>1044</v>
      </c>
    </row>
    <row r="202" ht="25.5" customHeight="1">
      <c r="A202" s="22" t="s">
        <v>900</v>
      </c>
      <c r="B202" s="124" t="s">
        <v>1045</v>
      </c>
      <c r="C202" s="132" t="s">
        <v>1046</v>
      </c>
      <c r="D202" s="126" t="s">
        <v>1047</v>
      </c>
      <c r="E202" s="127">
        <v>46044</v>
      </c>
      <c r="F202" s="128" t="s">
        <v>1048</v>
      </c>
      <c r="G202" s="129" t="s">
        <v>1049</v>
      </c>
      <c r="H202" s="130" t="str">
        <f>HYPERLINK("https://drive.google.com/file/d/1aClCtfB6-xNEGA-7bSDxu3qN1nSnj5ha/view?usp=drivesdk","Dr. Manali Singh-Biomolecules")</f>
        <v xml:space="preserve">Dr. Manali Singh-Biomolecules</v>
      </c>
      <c r="I202" s="131" t="s">
        <v>1044</v>
      </c>
    </row>
    <row r="203" ht="25.5" customHeight="1">
      <c r="A203" s="22" t="s">
        <v>900</v>
      </c>
      <c r="B203" s="124" t="s">
        <v>1050</v>
      </c>
      <c r="C203" s="132" t="s">
        <v>1051</v>
      </c>
      <c r="D203" s="126" t="s">
        <v>1052</v>
      </c>
      <c r="E203" s="127">
        <v>46044</v>
      </c>
      <c r="F203" s="128" t="s">
        <v>1053</v>
      </c>
      <c r="G203" s="129" t="s">
        <v>1054</v>
      </c>
      <c r="H203" s="130" t="str">
        <f>HYPERLINK("https://drive.google.com/file/d/10t9aQppntziwYhtcqXg8i5Zn_RZOA4aN/view?usp=drivesdk","Dr. Sarmita Jana-Molecular Biology")</f>
        <v xml:space="preserve">Dr. Sarmita Jana-Molecular Biology</v>
      </c>
      <c r="I203" s="131" t="s">
        <v>1044</v>
      </c>
    </row>
    <row r="204" ht="25.5" customHeight="1">
      <c r="A204" s="22" t="s">
        <v>900</v>
      </c>
      <c r="B204" s="124" t="s">
        <v>1055</v>
      </c>
      <c r="C204" s="132" t="s">
        <v>1056</v>
      </c>
      <c r="D204" s="133" t="s">
        <v>1057</v>
      </c>
      <c r="E204" s="134">
        <v>46044</v>
      </c>
      <c r="F204" s="128" t="s">
        <v>1058</v>
      </c>
      <c r="G204" s="129" t="s">
        <v>1059</v>
      </c>
      <c r="H204" s="130" t="str">
        <f>HYPERLINK("https://drive.google.com/file/d/1HZPIjMFNqy1gPFYJaKDiadyF_Oqwwypd/view?usp=drivesdk","Mr. Prashant Patel-Biochemical Pathway")</f>
        <v xml:space="preserve">Mr. Prashant Patel-Biochemical Pathway</v>
      </c>
      <c r="I204" s="131" t="s">
        <v>1044</v>
      </c>
    </row>
    <row r="205" ht="25.5" customHeight="1">
      <c r="A205" s="22" t="s">
        <v>900</v>
      </c>
      <c r="B205" s="124" t="s">
        <v>1060</v>
      </c>
      <c r="C205" s="132" t="s">
        <v>1061</v>
      </c>
      <c r="D205" s="126" t="s">
        <v>1062</v>
      </c>
      <c r="E205" s="127">
        <v>46044</v>
      </c>
      <c r="F205" s="128" t="s">
        <v>1063</v>
      </c>
      <c r="G205" s="129" t="s">
        <v>1064</v>
      </c>
      <c r="H205" s="130" t="str">
        <f>HYPERLINK("https://drive.google.com/file/d/1hoIhHi8rPFD1HZe9lqBoRYt0-qiSQ9cY/view?usp=drivesdk","Dr. Vasundhara Raina-Principles of Genetics")</f>
        <v xml:space="preserve">Dr. Vasundhara Raina-Principles of Genetics</v>
      </c>
      <c r="I205" s="131" t="s">
        <v>1065</v>
      </c>
    </row>
    <row r="206" ht="25.5" customHeight="1">
      <c r="A206" s="22" t="s">
        <v>900</v>
      </c>
      <c r="B206" s="136" t="s">
        <v>1066</v>
      </c>
      <c r="C206" s="132" t="s">
        <v>1067</v>
      </c>
      <c r="D206" s="126" t="s">
        <v>1068</v>
      </c>
      <c r="E206" s="127">
        <v>46044</v>
      </c>
      <c r="F206" s="128" t="s">
        <v>1069</v>
      </c>
      <c r="G206" s="129" t="s">
        <v>1070</v>
      </c>
      <c r="H206" s="130" t="str">
        <f>HYPERLINK("https://drive.google.com/file/d/1p2yGEdGdlxytgTx1c56mFE_F-Ufz6Eiz/view?usp=drivesdk","Dr. Pranjali Chole-Analytical tools and techniques  ")</f>
        <v xml:space="preserve">Dr. Pranjali Chole-Analytical tools and techniques  </v>
      </c>
      <c r="I206" s="131" t="s">
        <v>1065</v>
      </c>
    </row>
    <row r="207" ht="25.5" customHeight="1">
      <c r="A207" s="22" t="s">
        <v>900</v>
      </c>
      <c r="B207" s="124" t="s">
        <v>1071</v>
      </c>
      <c r="C207" s="132" t="s">
        <v>1072</v>
      </c>
      <c r="D207" s="133" t="s">
        <v>1073</v>
      </c>
      <c r="E207" s="134">
        <v>46044</v>
      </c>
      <c r="F207" s="128" t="s">
        <v>1074</v>
      </c>
      <c r="G207" s="129" t="s">
        <v>1075</v>
      </c>
      <c r="H207" s="130" t="str">
        <f>HYPERLINK("https://drive.google.com/file/d/1Mz3L-R7GmHV7yFVbAJB2G251Y9aQmyUh/view?usp=drivesdk","Dr. Krishan Kumar-Molecular Cell Biology")</f>
        <v xml:space="preserve">Dr. Krishan Kumar-Molecular Cell Biology</v>
      </c>
      <c r="I207" s="131" t="s">
        <v>1065</v>
      </c>
    </row>
    <row r="208" ht="25.5" customHeight="1">
      <c r="A208" s="22" t="s">
        <v>900</v>
      </c>
      <c r="B208" s="124" t="s">
        <v>1076</v>
      </c>
      <c r="C208" s="132" t="s">
        <v>1077</v>
      </c>
      <c r="D208" s="126" t="s">
        <v>1078</v>
      </c>
      <c r="E208" s="127">
        <v>46044</v>
      </c>
      <c r="F208" s="128" t="s">
        <v>1079</v>
      </c>
      <c r="G208" s="129" t="s">
        <v>1080</v>
      </c>
      <c r="H208" s="130" t="str">
        <f>HYPERLINK("https://drive.google.com/file/d/1nuvfpf-pktxZQ4Fn4othDCzGp4pHBxIT/view?usp=drivesdk","Dr. Saurabhkumar Mehta-Plant Genetics and Breeding")</f>
        <v xml:space="preserve">Dr. Saurabhkumar Mehta-Plant Genetics and Breeding</v>
      </c>
      <c r="I208" s="131" t="s">
        <v>1065</v>
      </c>
    </row>
    <row r="209" ht="25.5" customHeight="1">
      <c r="A209" s="22" t="s">
        <v>900</v>
      </c>
      <c r="B209" s="137" t="s">
        <v>1081</v>
      </c>
      <c r="C209" s="132" t="s">
        <v>1082</v>
      </c>
      <c r="D209" s="126" t="s">
        <v>1083</v>
      </c>
      <c r="E209" s="127">
        <v>46044</v>
      </c>
      <c r="F209" s="128" t="s">
        <v>1084</v>
      </c>
      <c r="G209" s="129" t="s">
        <v>1085</v>
      </c>
      <c r="H209" s="130" t="str">
        <f>HYPERLINK("https://drive.google.com/file/d/1iplezs2c8Ay5MayLVMTprt5UGBbv9EZO/view?usp=drivesdk","Dr. Dhwani Upadhyay-Immunology")</f>
        <v xml:space="preserve">Dr. Dhwani Upadhyay-Immunology</v>
      </c>
      <c r="I209" s="131" t="s">
        <v>1065</v>
      </c>
    </row>
    <row r="210" ht="25.5" customHeight="1">
      <c r="A210" s="22" t="s">
        <v>900</v>
      </c>
      <c r="B210" s="124" t="s">
        <v>1086</v>
      </c>
      <c r="C210" s="132" t="s">
        <v>1087</v>
      </c>
      <c r="D210" s="133" t="s">
        <v>1088</v>
      </c>
      <c r="E210" s="134">
        <v>46044</v>
      </c>
      <c r="F210" s="128" t="s">
        <v>1089</v>
      </c>
      <c r="G210" s="129" t="s">
        <v>1090</v>
      </c>
      <c r="H210" s="130" t="str">
        <f>HYPERLINK("https://drive.google.com/file/d/1cCjSxvns3QV3o5W2jIlYVXIwRXY9eFJZ/view?usp=drivesdk","Dr. Vaibhav Sabale-Bioinformatics and computational biology- 2")</f>
        <v xml:space="preserve">Dr. Vaibhav Sabale-Bioinformatics and computational biology- 2</v>
      </c>
      <c r="I210" s="131" t="s">
        <v>1091</v>
      </c>
    </row>
    <row r="211" ht="25.5" customHeight="1">
      <c r="A211" s="22" t="s">
        <v>900</v>
      </c>
      <c r="B211" s="124" t="s">
        <v>1092</v>
      </c>
      <c r="C211" s="132" t="s">
        <v>1093</v>
      </c>
      <c r="D211" s="126" t="s">
        <v>1094</v>
      </c>
      <c r="E211" s="127">
        <v>46044</v>
      </c>
      <c r="F211" s="128" t="s">
        <v>1095</v>
      </c>
      <c r="G211" s="129" t="s">
        <v>1096</v>
      </c>
      <c r="H211" s="130" t="str">
        <f>HYPERLINK("https://drive.google.com/file/d/1hS-_HW8eWrZmb6fgo4xHhVVI9Xt7m2gn/view?usp=drivesdk","Dr.Esha Rami-Genetic Engineering Technology")</f>
        <v xml:space="preserve">Dr.Esha Rami-Genetic Engineering Technology</v>
      </c>
      <c r="I211" s="131" t="s">
        <v>1091</v>
      </c>
    </row>
    <row r="212" ht="25.5" customHeight="1">
      <c r="A212" s="22" t="s">
        <v>900</v>
      </c>
      <c r="B212" s="124" t="s">
        <v>1097</v>
      </c>
      <c r="C212" s="132" t="s">
        <v>1098</v>
      </c>
      <c r="D212" s="126" t="s">
        <v>1099</v>
      </c>
      <c r="E212" s="127">
        <v>46044</v>
      </c>
      <c r="F212" s="128" t="s">
        <v>1100</v>
      </c>
      <c r="G212" s="129" t="s">
        <v>1101</v>
      </c>
      <c r="H212" s="130" t="str">
        <f>HYPERLINK("https://drive.google.com/file/d/1CuQqH5D6rDfzkuZ8-zllrGXzt-8DTY6b/view?usp=drivesdk","Dr. Jayvadan Vaishnav-Enzymology and Protein engineering")</f>
        <v xml:space="preserve">Dr. Jayvadan Vaishnav-Enzymology and Protein engineering</v>
      </c>
      <c r="I212" s="131" t="s">
        <v>1091</v>
      </c>
    </row>
    <row r="213" ht="25.5" customHeight="1">
      <c r="A213" s="22" t="s">
        <v>900</v>
      </c>
      <c r="B213" s="124" t="s">
        <v>1102</v>
      </c>
      <c r="C213" s="132" t="s">
        <v>1103</v>
      </c>
      <c r="D213" s="126" t="s">
        <v>1104</v>
      </c>
      <c r="E213" s="127">
        <v>46044</v>
      </c>
      <c r="F213" s="128" t="s">
        <v>1105</v>
      </c>
      <c r="G213" s="129" t="s">
        <v>1106</v>
      </c>
      <c r="H213" s="130" t="str">
        <f>HYPERLINK("https://drive.google.com/file/d/1T1BHJT9NsdFO3UgJyllJiw-i1c8gLx-j/view?usp=drivesdk","Dr. Indrani Bhattacharya-Advanced Immunology")</f>
        <v xml:space="preserve">Dr. Indrani Bhattacharya-Advanced Immunology</v>
      </c>
      <c r="I213" s="131" t="s">
        <v>1091</v>
      </c>
    </row>
    <row r="214" ht="25.5" customHeight="1">
      <c r="A214" s="22" t="s">
        <v>900</v>
      </c>
      <c r="B214" s="124" t="s">
        <v>1107</v>
      </c>
      <c r="C214" s="132" t="s">
        <v>1108</v>
      </c>
      <c r="D214" s="126" t="s">
        <v>1109</v>
      </c>
      <c r="E214" s="127">
        <v>46044</v>
      </c>
      <c r="F214" s="128" t="s">
        <v>1110</v>
      </c>
      <c r="G214" s="129" t="s">
        <v>1111</v>
      </c>
      <c r="H214" s="130" t="str">
        <f>HYPERLINK("https://drive.google.com/file/d/1RqZoUPZrYdtHZl2_c9xAjqL153Lb5WRy/view?usp=drivesdk","Dr. Girish Deokar-Industrial Microbiology ")</f>
        <v xml:space="preserve">Dr. Girish Deokar-Industrial Microbiology </v>
      </c>
      <c r="I214" s="131" t="s">
        <v>1091</v>
      </c>
    </row>
    <row r="215" ht="25.5" customHeight="1">
      <c r="A215" s="22" t="s">
        <v>900</v>
      </c>
      <c r="B215" s="124" t="s">
        <v>1112</v>
      </c>
      <c r="C215" s="132" t="s">
        <v>1113</v>
      </c>
      <c r="D215" s="126" t="s">
        <v>1114</v>
      </c>
      <c r="E215" s="127">
        <v>46044</v>
      </c>
      <c r="F215" s="128" t="s">
        <v>1115</v>
      </c>
      <c r="G215" s="129" t="s">
        <v>1116</v>
      </c>
      <c r="H215" s="130" t="str">
        <f>HYPERLINK("https://drive.google.com/file/d/1z9r1UbakzixRky6EtppR3ITVxGOMN6Wh/view?usp=drivesdk","Dr.Usha Sabahrwal-Medical Microbiology")</f>
        <v xml:space="preserve">Dr.Usha Sabahrwal-Medical Microbiology</v>
      </c>
      <c r="I215" s="131" t="s">
        <v>1117</v>
      </c>
    </row>
    <row r="216" ht="25.5" customHeight="1">
      <c r="A216" s="22" t="s">
        <v>900</v>
      </c>
      <c r="B216" s="124" t="s">
        <v>1118</v>
      </c>
      <c r="C216" s="132" t="s">
        <v>1119</v>
      </c>
      <c r="D216" s="126" t="s">
        <v>1120</v>
      </c>
      <c r="E216" s="127">
        <v>46044</v>
      </c>
      <c r="F216" s="128" t="s">
        <v>1121</v>
      </c>
      <c r="G216" s="129" t="s">
        <v>1122</v>
      </c>
      <c r="H216" s="130" t="str">
        <f>HYPERLINK("https://drive.google.com/file/d/1J8DeN54qH2o2ZVhrUdohTsEmhA6_P59I/view?usp=drivesdk","Dr. Lovelesh Singh Saini-Epigentics  ")</f>
        <v xml:space="preserve">Dr. Lovelesh Singh Saini-Epigentics  </v>
      </c>
      <c r="I216" s="131" t="s">
        <v>1117</v>
      </c>
    </row>
    <row r="217" ht="25.5" customHeight="1">
      <c r="A217" s="22" t="s">
        <v>900</v>
      </c>
      <c r="B217" s="124" t="s">
        <v>1123</v>
      </c>
      <c r="C217" s="132" t="s">
        <v>1124</v>
      </c>
      <c r="D217" s="126" t="s">
        <v>1125</v>
      </c>
      <c r="E217" s="127">
        <v>46119</v>
      </c>
      <c r="F217" s="128" t="s">
        <v>1126</v>
      </c>
      <c r="G217" s="129" t="s">
        <v>1127</v>
      </c>
      <c r="H217" s="130" t="str">
        <f>HYPERLINK("https://drive.google.com/file/d/1jHfZCOBm0dR7EaK65eqUfC-y8MuP_sBS/view?usp=drivesdk","Dr. Kamal Bansod-Organic Production Technology of Field Crops")</f>
        <v xml:space="preserve">Dr. Kamal Bansod-Organic Production Technology of Field Crops</v>
      </c>
      <c r="I217" s="131" t="s">
        <v>1117</v>
      </c>
    </row>
    <row r="218" ht="25.5" customHeight="1">
      <c r="A218" s="22" t="s">
        <v>900</v>
      </c>
      <c r="B218" s="124" t="s">
        <v>1128</v>
      </c>
      <c r="C218" s="132" t="s">
        <v>1129</v>
      </c>
      <c r="D218" s="126" t="s">
        <v>1130</v>
      </c>
      <c r="E218" s="127">
        <v>46006</v>
      </c>
      <c r="F218" s="128" t="s">
        <v>1131</v>
      </c>
      <c r="G218" s="129" t="s">
        <v>1132</v>
      </c>
      <c r="H218" s="130" t="str">
        <f>HYPERLINK("https://drive.google.com/file/d/1wu8xhB3HtJiS9NLo-YDcr5ryVipTUWyW/view?usp=drivesdk","Ms. Unnati Patel-Fundamentals of Industrial Chemistry – I")</f>
        <v xml:space="preserve">Ms. Unnati Patel-Fundamentals of Industrial Chemistry – I</v>
      </c>
      <c r="I218" s="131" t="s">
        <v>1117</v>
      </c>
    </row>
    <row r="219" ht="25.5" customHeight="1">
      <c r="A219" s="22" t="s">
        <v>900</v>
      </c>
      <c r="B219" s="124" t="s">
        <v>1133</v>
      </c>
      <c r="C219" s="132" t="s">
        <v>1134</v>
      </c>
      <c r="D219" s="126" t="s">
        <v>1135</v>
      </c>
      <c r="E219" s="127">
        <v>46006</v>
      </c>
      <c r="F219" s="128" t="s">
        <v>1136</v>
      </c>
      <c r="G219" s="129" t="s">
        <v>1137</v>
      </c>
      <c r="H219" s="130" t="str">
        <f>HYPERLINK("https://drive.google.com/file/d/1o_-nSaJuI8zj6mna45TNyklEXDWX3KlY/view?usp=drivesdk","Dr. Pavan Karkare-Bioorganic Chemistry")</f>
        <v xml:space="preserve">Dr. Pavan Karkare-Bioorganic Chemistry</v>
      </c>
      <c r="I219" s="131" t="s">
        <v>1117</v>
      </c>
    </row>
    <row r="220" ht="25.5" customHeight="1">
      <c r="A220" s="22" t="s">
        <v>900</v>
      </c>
      <c r="B220" s="124" t="s">
        <v>1138</v>
      </c>
      <c r="C220" s="132" t="s">
        <v>1139</v>
      </c>
      <c r="D220" s="126" t="s">
        <v>1140</v>
      </c>
      <c r="E220" s="127">
        <v>46006</v>
      </c>
      <c r="F220" s="128" t="s">
        <v>1141</v>
      </c>
      <c r="G220" s="129" t="s">
        <v>1142</v>
      </c>
      <c r="H220" s="130" t="str">
        <f>HYPERLINK("https://drive.google.com/file/d/1VIBPKCQaHzYczVWB2PFhXnuDapMPzMov/view?usp=drivesdk","Dr. Shanta Raj Lakshmi-Heterocyclic chemistry")</f>
        <v xml:space="preserve">Dr. Shanta Raj Lakshmi-Heterocyclic chemistry</v>
      </c>
      <c r="I220" s="131" t="s">
        <v>1117</v>
      </c>
    </row>
    <row r="221" ht="25.5" customHeight="1">
      <c r="A221" s="22" t="s">
        <v>900</v>
      </c>
      <c r="B221" s="124" t="s">
        <v>1143</v>
      </c>
      <c r="C221" s="132" t="s">
        <v>1144</v>
      </c>
      <c r="D221" s="126" t="s">
        <v>1145</v>
      </c>
      <c r="E221" s="127">
        <v>46006</v>
      </c>
      <c r="F221" s="128" t="s">
        <v>1146</v>
      </c>
      <c r="G221" s="129" t="s">
        <v>1147</v>
      </c>
      <c r="H221" s="130" t="str">
        <f>HYPERLINK("https://drive.google.com/file/d/1iiwK5OJTV24LHzTp5IGJCihNclbDlVBt/view?usp=drivesdk","Dr. Surbhi Joshi-Conventional gravimetric and titrimetric methods")</f>
        <v xml:space="preserve">Dr. Surbhi Joshi-Conventional gravimetric and titrimetric methods</v>
      </c>
      <c r="I221" s="131" t="s">
        <v>1148</v>
      </c>
    </row>
    <row r="222" ht="25.5" customHeight="1">
      <c r="A222" s="22" t="s">
        <v>900</v>
      </c>
      <c r="B222" s="124" t="s">
        <v>1149</v>
      </c>
      <c r="C222" s="138" t="s">
        <v>1150</v>
      </c>
      <c r="D222" s="126" t="s">
        <v>1151</v>
      </c>
      <c r="E222" s="127">
        <v>46006</v>
      </c>
      <c r="F222" s="128" t="s">
        <v>1152</v>
      </c>
      <c r="G222" s="129" t="s">
        <v>1153</v>
      </c>
      <c r="H222" s="130" t="str">
        <f>HYPERLINK("https://drive.google.com/file/d/1vX9H8zW7SCIzGRKCMsJCHr1Qa8H67-Ki/view?usp=drivesdk","Dr Sonam Ahuja -Basic of Organic Chemistry-II ")</f>
        <v xml:space="preserve">Dr Sonam Ahuja -Basic of Organic Chemistry-II </v>
      </c>
      <c r="I222" s="131" t="s">
        <v>1148</v>
      </c>
    </row>
    <row r="223" ht="25.5" customHeight="1">
      <c r="A223" s="22" t="s">
        <v>900</v>
      </c>
      <c r="B223" s="132" t="s">
        <v>1154</v>
      </c>
      <c r="C223" s="139" t="s">
        <v>1155</v>
      </c>
      <c r="D223" s="126" t="s">
        <v>1156</v>
      </c>
      <c r="E223" s="127">
        <v>46006</v>
      </c>
      <c r="F223" s="128" t="s">
        <v>1157</v>
      </c>
      <c r="G223" s="129" t="s">
        <v>1158</v>
      </c>
      <c r="H223" s="130" t="str">
        <f>HYPERLINK("https://drive.google.com/file/d/1Mumd3cHZC2TOIyumN2IqzXoZqfqpba3z/view?usp=drivesdk","Dr. Gautam Patel-Organic chemistry")</f>
        <v xml:space="preserve">Dr. Gautam Patel-Organic chemistry</v>
      </c>
      <c r="I223" s="131" t="s">
        <v>1148</v>
      </c>
    </row>
    <row r="224" ht="25.5" customHeight="1">
      <c r="A224" s="22" t="s">
        <v>900</v>
      </c>
      <c r="B224" s="124" t="s">
        <v>1159</v>
      </c>
      <c r="C224" s="132" t="s">
        <v>1160</v>
      </c>
      <c r="D224" s="126" t="s">
        <v>1161</v>
      </c>
      <c r="E224" s="127">
        <v>46006</v>
      </c>
      <c r="F224" s="128" t="s">
        <v>1162</v>
      </c>
      <c r="G224" s="129" t="s">
        <v>1163</v>
      </c>
      <c r="H224" s="130" t="str">
        <f>HYPERLINK("https://drive.google.com/file/d/1sGugRtwpjXeMEsMK7KBUUtBy9yhhoVvv/view?usp=drivesdk","Dr Jiten Chudasma-Inorganic Chemistry-II")</f>
        <v xml:space="preserve">Dr Jiten Chudasma-Inorganic Chemistry-II</v>
      </c>
      <c r="I224" s="131" t="s">
        <v>1148</v>
      </c>
    </row>
    <row r="225" ht="25.5" customHeight="1">
      <c r="A225" s="22" t="s">
        <v>900</v>
      </c>
      <c r="B225" s="124" t="s">
        <v>1164</v>
      </c>
      <c r="C225" s="132" t="s">
        <v>1165</v>
      </c>
      <c r="D225" s="126" t="s">
        <v>1166</v>
      </c>
      <c r="E225" s="127">
        <v>46006</v>
      </c>
      <c r="F225" s="128" t="s">
        <v>1167</v>
      </c>
      <c r="G225" s="129" t="s">
        <v>1168</v>
      </c>
      <c r="H225" s="130" t="str">
        <f>HYPERLINK("https://drive.google.com/file/d/11qDDrHhjj7ZD192pBcq64TIMZ8alsZqj/view?usp=drivesdk","Dr. Kushan Parikh-Applied Chemistry-II ")</f>
        <v xml:space="preserve">Dr. Kushan Parikh-Applied Chemistry-II </v>
      </c>
      <c r="I225" s="131" t="s">
        <v>1148</v>
      </c>
    </row>
    <row r="226" ht="25.5" customHeight="1">
      <c r="A226" s="22" t="s">
        <v>900</v>
      </c>
      <c r="B226" s="124" t="s">
        <v>1169</v>
      </c>
      <c r="C226" s="132" t="s">
        <v>1170</v>
      </c>
      <c r="D226" s="126" t="s">
        <v>1171</v>
      </c>
      <c r="E226" s="127">
        <v>46006</v>
      </c>
      <c r="F226" s="128" t="s">
        <v>1172</v>
      </c>
      <c r="G226" s="129" t="s">
        <v>1173</v>
      </c>
      <c r="H226" s="130" t="str">
        <f>HYPERLINK("https://drive.google.com/file/d/1PDoN-z_H1Mt8Dy0DofL4KqpzgRodvPXM/view?usp=drivesdk","Dr. Srujal Sonera-Electro Analytical Techniques")</f>
        <v xml:space="preserve">Dr. Srujal Sonera-Electro Analytical Techniques</v>
      </c>
      <c r="I226" s="131" t="s">
        <v>1148</v>
      </c>
    </row>
    <row r="227" ht="25.5" customHeight="1">
      <c r="A227" s="22" t="s">
        <v>900</v>
      </c>
      <c r="B227" s="124" t="s">
        <v>1174</v>
      </c>
      <c r="C227" s="132" t="s">
        <v>1175</v>
      </c>
      <c r="D227" s="126" t="s">
        <v>1176</v>
      </c>
      <c r="E227" s="127">
        <v>46006</v>
      </c>
      <c r="F227" s="128" t="s">
        <v>1177</v>
      </c>
      <c r="G227" s="129" t="s">
        <v>1178</v>
      </c>
      <c r="H227" s="130" t="str">
        <f>HYPERLINK("https://drive.google.com/file/d/1mfY57SpIfPkLQOR2sD7OJz4HZ7qpAEXl/view?usp=drivesdk","Dr. Tirth Thaker-Natural products")</f>
        <v xml:space="preserve">Dr. Tirth Thaker-Natural products</v>
      </c>
      <c r="I227" s="131" t="s">
        <v>1148</v>
      </c>
    </row>
    <row r="228" ht="25.5" customHeight="1">
      <c r="A228" s="22" t="s">
        <v>900</v>
      </c>
      <c r="B228" s="124" t="s">
        <v>1179</v>
      </c>
      <c r="C228" s="132" t="s">
        <v>1180</v>
      </c>
      <c r="D228" s="126" t="s">
        <v>1181</v>
      </c>
      <c r="E228" s="127">
        <v>46006</v>
      </c>
      <c r="F228" s="128" t="s">
        <v>1182</v>
      </c>
      <c r="G228" s="129" t="s">
        <v>1183</v>
      </c>
      <c r="H228" s="130" t="str">
        <f>HYPERLINK("https://drive.google.com/file/d/1YBsnsM3CPkNbt5WITXG0mFnKpSdpUQ6Z/view?usp=drivesdk","Dr. Chintan Somaiya-Name Reactions &amp; mechanism")</f>
        <v xml:space="preserve">Dr. Chintan Somaiya-Name Reactions &amp; mechanism</v>
      </c>
      <c r="I228" s="131" t="s">
        <v>1184</v>
      </c>
    </row>
    <row r="229" ht="25.5" customHeight="1">
      <c r="A229" s="22" t="s">
        <v>900</v>
      </c>
      <c r="B229" s="124" t="s">
        <v>1185</v>
      </c>
      <c r="C229" s="132" t="s">
        <v>1186</v>
      </c>
      <c r="D229" s="126" t="s">
        <v>1187</v>
      </c>
      <c r="E229" s="127">
        <v>46006</v>
      </c>
      <c r="F229" s="128" t="s">
        <v>1188</v>
      </c>
      <c r="G229" s="129" t="s">
        <v>1189</v>
      </c>
      <c r="H229" s="130" t="str">
        <f>HYPERLINK("https://drive.google.com/file/d/1jwSVH1CyVPk_9vL_nWRcmlowiqzKzFKY/view?usp=drivesdk","Dr. Asha Joshi Thanki-Computational Chemistry")</f>
        <v xml:space="preserve">Dr. Asha Joshi Thanki-Computational Chemistry</v>
      </c>
      <c r="I229" s="131" t="s">
        <v>1184</v>
      </c>
    </row>
    <row r="230" ht="25.5" customHeight="1">
      <c r="A230" s="22" t="s">
        <v>900</v>
      </c>
      <c r="B230" s="124" t="s">
        <v>1190</v>
      </c>
      <c r="C230" s="132" t="s">
        <v>1191</v>
      </c>
      <c r="D230" s="133" t="s">
        <v>1192</v>
      </c>
      <c r="E230" s="134">
        <v>46006</v>
      </c>
      <c r="F230" s="128" t="s">
        <v>1193</v>
      </c>
      <c r="G230" s="129" t="s">
        <v>1194</v>
      </c>
      <c r="H230" s="130" t="str">
        <f>HYPERLINK("https://drive.google.com/file/d/1dGcf7KmG0HOEn3QIYLel9oYrbd87-k7L/view?usp=drivesdk","Mr. Setu Visavadia-Industrial Instrumentation and Process Control - I")</f>
        <v xml:space="preserve">Mr. Setu Visavadia-Industrial Instrumentation and Process Control - I</v>
      </c>
      <c r="I230" s="131" t="s">
        <v>1184</v>
      </c>
    </row>
    <row r="231" ht="25.5" customHeight="1">
      <c r="A231" s="22" t="s">
        <v>900</v>
      </c>
      <c r="B231" s="124" t="s">
        <v>1195</v>
      </c>
      <c r="C231" s="132" t="s">
        <v>1196</v>
      </c>
      <c r="D231" s="126" t="s">
        <v>1197</v>
      </c>
      <c r="E231" s="127">
        <v>46006</v>
      </c>
      <c r="F231" s="128" t="s">
        <v>1198</v>
      </c>
      <c r="G231" s="129" t="s">
        <v>1199</v>
      </c>
      <c r="H231" s="130" t="str">
        <f>HYPERLINK("https://drive.google.com/file/d/1OtVDlXi06Knz22wa51NVGpBFGzg98jPG/view?usp=drivesdk","Dr. Yamee Shah-Food Labeling and Consumer Awareness  ")</f>
        <v xml:space="preserve">Dr. Yamee Shah-Food Labeling and Consumer Awareness  </v>
      </c>
      <c r="I231" s="131" t="s">
        <v>1184</v>
      </c>
    </row>
    <row r="232" ht="25.5" customHeight="1">
      <c r="A232" s="22" t="s">
        <v>900</v>
      </c>
      <c r="B232" s="124" t="s">
        <v>1200</v>
      </c>
      <c r="C232" s="132" t="s">
        <v>1201</v>
      </c>
      <c r="D232" s="126" t="s">
        <v>1202</v>
      </c>
      <c r="E232" s="127">
        <v>46006</v>
      </c>
      <c r="F232" s="128" t="s">
        <v>1203</v>
      </c>
      <c r="G232" s="129" t="s">
        <v>1204</v>
      </c>
      <c r="H232" s="130" t="str">
        <f>HYPERLINK("https://drive.google.com/file/d/16OT2VsVgVSOsl7oXt148Mk51X4if4xih/view?usp=drivesdk","Dr. Deepika Anand-Food Chemistry")</f>
        <v xml:space="preserve">Dr. Deepika Anand-Food Chemistry</v>
      </c>
      <c r="I232" s="131" t="s">
        <v>1205</v>
      </c>
    </row>
    <row r="233" ht="25.5" customHeight="1">
      <c r="A233" s="22" t="s">
        <v>900</v>
      </c>
      <c r="B233" s="124" t="s">
        <v>1206</v>
      </c>
      <c r="C233" s="132" t="s">
        <v>1207</v>
      </c>
      <c r="D233" s="126" t="s">
        <v>1208</v>
      </c>
      <c r="E233" s="127">
        <v>46006</v>
      </c>
      <c r="F233" s="128" t="s">
        <v>1209</v>
      </c>
      <c r="G233" s="129" t="s">
        <v>1210</v>
      </c>
      <c r="H233" s="130" t="str">
        <f>HYPERLINK("https://drive.google.com/file/d/1zmqt11BHP-b49Mpg4teJro2u_pjSDZtQ/view?usp=drivesdk","Dr. Sheetal Chhaya-Introduction to Nutrition ")</f>
        <v xml:space="preserve">Dr. Sheetal Chhaya-Introduction to Nutrition </v>
      </c>
      <c r="I233" s="131" t="s">
        <v>1205</v>
      </c>
    </row>
    <row r="234" ht="25.5" customHeight="1">
      <c r="A234" s="22" t="s">
        <v>900</v>
      </c>
      <c r="B234" s="124" t="s">
        <v>1211</v>
      </c>
      <c r="C234" s="132" t="s">
        <v>1212</v>
      </c>
      <c r="D234" s="126" t="s">
        <v>1213</v>
      </c>
      <c r="E234" s="127">
        <v>46006</v>
      </c>
      <c r="F234" s="128" t="s">
        <v>1214</v>
      </c>
      <c r="G234" s="129" t="s">
        <v>1215</v>
      </c>
      <c r="H234" s="130" t="str">
        <f>HYPERLINK("https://drive.google.com/file/d/1y6XvEc8lsdJQhX2n3u5uUX0pJWzJ-m9C/view?usp=drivesdk","Ms. Gauri Bhoyar-Nutrition Physiology 2")</f>
        <v xml:space="preserve">Ms. Gauri Bhoyar-Nutrition Physiology 2</v>
      </c>
      <c r="I234" s="131" t="s">
        <v>1205</v>
      </c>
    </row>
    <row r="235" ht="25.5" customHeight="1">
      <c r="A235" s="22" t="s">
        <v>900</v>
      </c>
      <c r="B235" s="124" t="s">
        <v>1216</v>
      </c>
      <c r="C235" s="132" t="s">
        <v>1217</v>
      </c>
      <c r="D235" s="126" t="s">
        <v>1218</v>
      </c>
      <c r="E235" s="127">
        <v>46006</v>
      </c>
      <c r="F235" s="128" t="s">
        <v>1219</v>
      </c>
      <c r="G235" s="129" t="s">
        <v>1220</v>
      </c>
      <c r="H235" s="130" t="str">
        <f>HYPERLINK("https://drive.google.com/file/d/12oJZX0zOCxeyiyPdV8DAUW89y4XPydtV/view?usp=drivesdk","Ms. Gayatri Parmar-Meal Planning in Lifecyle")</f>
        <v xml:space="preserve">Ms. Gayatri Parmar-Meal Planning in Lifecyle</v>
      </c>
      <c r="I235" s="131" t="s">
        <v>1205</v>
      </c>
    </row>
    <row r="236" ht="25.5" customHeight="1">
      <c r="A236" s="22" t="s">
        <v>900</v>
      </c>
      <c r="B236" s="124" t="s">
        <v>1221</v>
      </c>
      <c r="C236" s="132" t="s">
        <v>1222</v>
      </c>
      <c r="D236" s="126" t="s">
        <v>1223</v>
      </c>
      <c r="E236" s="127">
        <v>46006</v>
      </c>
      <c r="F236" s="128" t="s">
        <v>1224</v>
      </c>
      <c r="G236" s="129" t="s">
        <v>1225</v>
      </c>
      <c r="H236" s="130" t="str">
        <f>HYPERLINK("https://drive.google.com/file/d/1os72qtt2Z0ibsDYfndDCB6mHFoya68C5/view?usp=drivesdk","Ms. Mansi Patel-Nutritional Status Assessment")</f>
        <v xml:space="preserve">Ms. Mansi Patel-Nutritional Status Assessment</v>
      </c>
      <c r="I236" s="131" t="s">
        <v>1205</v>
      </c>
    </row>
    <row r="237" ht="25.5" customHeight="1">
      <c r="A237" s="22" t="s">
        <v>900</v>
      </c>
      <c r="B237" s="140" t="s">
        <v>1226</v>
      </c>
      <c r="C237" s="141" t="s">
        <v>1227</v>
      </c>
      <c r="D237" s="126" t="s">
        <v>1228</v>
      </c>
      <c r="E237" s="127">
        <v>46006</v>
      </c>
      <c r="F237" s="128" t="s">
        <v>1229</v>
      </c>
      <c r="G237" s="129" t="s">
        <v>1230</v>
      </c>
      <c r="H237" s="130" t="str">
        <f>HYPERLINK("https://drive.google.com/file/d/1dMVe7aTKqPR16wi0kXgAPH7K0i_1gvsQ/view?usp=drivesdk","Dhanya Joseph-Food Chemistry - II")</f>
        <v xml:space="preserve">Dhanya Joseph-Food Chemistry - II</v>
      </c>
      <c r="I237" s="131" t="s">
        <v>1205</v>
      </c>
    </row>
    <row r="238" ht="25.5" customHeight="1">
      <c r="A238" s="22" t="s">
        <v>900</v>
      </c>
      <c r="B238" s="142" t="s">
        <v>1231</v>
      </c>
      <c r="C238" s="141" t="s">
        <v>1232</v>
      </c>
      <c r="D238" s="126" t="s">
        <v>1233</v>
      </c>
      <c r="E238" s="143">
        <v>46030</v>
      </c>
      <c r="F238" s="128" t="s">
        <v>1234</v>
      </c>
      <c r="G238" s="129" t="s">
        <v>1235</v>
      </c>
      <c r="H238" s="130" t="str">
        <f>HYPERLINK("https://drive.google.com/file/d/1lQrxfn8QvGJpg9Ok4QOBHwv8cfVtFS71/view?usp=drivesdk","Dr. Anil Ghorband-Introduction to Food Technology -II")</f>
        <v xml:space="preserve">Dr. Anil Ghorband-Introduction to Food Technology -II</v>
      </c>
      <c r="I238" s="131" t="s">
        <v>1205</v>
      </c>
    </row>
    <row r="239" ht="25.5" customHeight="1">
      <c r="A239" s="22" t="s">
        <v>900</v>
      </c>
      <c r="B239" s="144" t="s">
        <v>1231</v>
      </c>
      <c r="C239" s="141" t="s">
        <v>1236</v>
      </c>
      <c r="D239" s="126" t="s">
        <v>1237</v>
      </c>
      <c r="E239" s="143">
        <v>46030</v>
      </c>
      <c r="F239" s="128" t="s">
        <v>1238</v>
      </c>
      <c r="G239" s="129" t="s">
        <v>1239</v>
      </c>
      <c r="H239" s="130" t="str">
        <f>HYPERLINK("https://drive.google.com/file/d/1iInHBI7YryE88xC0_Ur__tiz-jkT7VdZ/view?usp=drivesdk","Dr. Anil Ghorband-Post-Harvest Technology")</f>
        <v xml:space="preserve">Dr. Anil Ghorband-Post-Harvest Technology</v>
      </c>
      <c r="I239" s="131" t="s">
        <v>1240</v>
      </c>
    </row>
    <row r="240" ht="25.5" customHeight="1">
      <c r="A240" s="22" t="s">
        <v>900</v>
      </c>
      <c r="B240" s="137" t="s">
        <v>1241</v>
      </c>
      <c r="C240" s="141" t="s">
        <v>1242</v>
      </c>
      <c r="D240" s="126" t="s">
        <v>1243</v>
      </c>
      <c r="E240" s="143">
        <v>46030</v>
      </c>
      <c r="F240" s="128" t="s">
        <v>1244</v>
      </c>
      <c r="G240" s="129" t="s">
        <v>1245</v>
      </c>
      <c r="H240" s="130" t="str">
        <f>HYPERLINK("https://drive.google.com/file/d/1q-nERTmAJm3mVWQUnf1MijBM3PO3o8Ru/view?usp=drivesdk","Mr.Awanish Singh-Spice and Flavour Technology")</f>
        <v xml:space="preserve">Mr.Awanish Singh-Spice and Flavour Technology</v>
      </c>
      <c r="I240" s="131" t="s">
        <v>1240</v>
      </c>
    </row>
    <row r="241" ht="25.5" customHeight="1">
      <c r="A241" s="22" t="s">
        <v>900</v>
      </c>
      <c r="B241" s="137" t="s">
        <v>1226</v>
      </c>
      <c r="C241" s="141" t="s">
        <v>1246</v>
      </c>
      <c r="D241" s="126" t="s">
        <v>1247</v>
      </c>
      <c r="E241" s="143">
        <v>46030</v>
      </c>
      <c r="F241" s="128" t="s">
        <v>1248</v>
      </c>
      <c r="G241" s="129" t="s">
        <v>1249</v>
      </c>
      <c r="H241" s="130" t="str">
        <f>HYPERLINK("https://drive.google.com/file/d/1UzCqEs-WXPC0FOOEdyWwP06WnT4vI_sC/view?usp=drivesdk","Dhanya Joseph-Processing of Milk and Milk Products ")</f>
        <v xml:space="preserve">Dhanya Joseph-Processing of Milk and Milk Products </v>
      </c>
      <c r="I241" s="131" t="s">
        <v>1240</v>
      </c>
    </row>
    <row r="242" ht="25.5" customHeight="1">
      <c r="A242" s="22" t="s">
        <v>900</v>
      </c>
      <c r="B242" s="145" t="s">
        <v>1250</v>
      </c>
      <c r="C242" s="141" t="s">
        <v>1251</v>
      </c>
      <c r="D242" s="126" t="s">
        <v>1252</v>
      </c>
      <c r="E242" s="143">
        <v>46030</v>
      </c>
      <c r="F242" s="128" t="s">
        <v>1253</v>
      </c>
      <c r="G242" s="129" t="s">
        <v>1254</v>
      </c>
      <c r="H242" s="130" t="str">
        <f>HYPERLINK("https://drive.google.com/file/d/1_3ZBYMmTsRyqvcm7YAQ2t6T37Nr1_t-0/view?usp=drivesdk","Ms.Sachin Suse-Food Additives")</f>
        <v xml:space="preserve">Ms.Sachin Suse-Food Additives</v>
      </c>
      <c r="I242" s="131" t="s">
        <v>1240</v>
      </c>
    </row>
    <row r="243" ht="25.5" customHeight="1">
      <c r="A243" s="22" t="s">
        <v>900</v>
      </c>
      <c r="B243" s="146" t="s">
        <v>1255</v>
      </c>
      <c r="C243" s="147" t="s">
        <v>1256</v>
      </c>
      <c r="D243" s="133" t="s">
        <v>1257</v>
      </c>
      <c r="E243" s="148">
        <v>46030</v>
      </c>
      <c r="F243" s="128" t="s">
        <v>1258</v>
      </c>
      <c r="G243" s="129" t="s">
        <v>1259</v>
      </c>
      <c r="H243" s="130" t="str">
        <f>HYPERLINK("https://drive.google.com/file/d/1JOrrO8qyp9nwxYLLdaxP7yQOMQHr2sn8/view?usp=drivesdk","Dr. Gunnam Venkata Ratnalu-Economic Geology")</f>
        <v xml:space="preserve">Dr. Gunnam Venkata Ratnalu-Economic Geology</v>
      </c>
      <c r="I243" s="131" t="s">
        <v>1240</v>
      </c>
    </row>
    <row r="244" ht="25.5" customHeight="1">
      <c r="A244" s="149" t="s">
        <v>1260</v>
      </c>
      <c r="B244" s="150" t="s">
        <v>1261</v>
      </c>
      <c r="C244" s="151" t="s">
        <v>1262</v>
      </c>
      <c r="D244" s="152" t="s">
        <v>1263</v>
      </c>
      <c r="E244" s="153">
        <v>46079</v>
      </c>
      <c r="F244" s="128" t="s">
        <v>1264</v>
      </c>
      <c r="G244" s="129" t="s">
        <v>1265</v>
      </c>
      <c r="H244" s="130" t="str">
        <f>HYPERLINK("https://drive.google.com/file/d/1WZ--KGTXcyCHIJbvInUgsJsXCLFL9yWn/view?usp=drivesdk","Dr. Venkatesh Aravindh R.-History of Print Journalism")</f>
        <v xml:space="preserve">Dr. Venkatesh Aravindh R.-History of Print Journalism</v>
      </c>
      <c r="I244" s="131" t="s">
        <v>1266</v>
      </c>
    </row>
    <row r="245" ht="25.5" customHeight="1">
      <c r="A245" s="149" t="s">
        <v>1260</v>
      </c>
      <c r="B245" s="150" t="s">
        <v>1267</v>
      </c>
      <c r="C245" s="154" t="s">
        <v>1268</v>
      </c>
      <c r="D245" s="152" t="s">
        <v>1269</v>
      </c>
      <c r="E245" s="153">
        <v>46079</v>
      </c>
      <c r="F245" s="128" t="s">
        <v>1270</v>
      </c>
      <c r="G245" s="129" t="s">
        <v>1271</v>
      </c>
      <c r="H245" s="130" t="str">
        <f>HYPERLINK("https://drive.google.com/file/d/1r7sZYnYoibjfibt8KVRZCbsQav8E1HNt/view?usp=drivesdk","Dr. Suresh M-INTRODUCTION TO MASS COMMUNICATION  ")</f>
        <v xml:space="preserve">Dr. Suresh M-INTRODUCTION TO MASS COMMUNICATION  </v>
      </c>
      <c r="I245" s="131" t="s">
        <v>1266</v>
      </c>
    </row>
    <row r="246" ht="25.5" customHeight="1">
      <c r="A246" s="149" t="s">
        <v>1260</v>
      </c>
      <c r="B246" s="155" t="s">
        <v>1272</v>
      </c>
      <c r="C246" s="154" t="s">
        <v>1273</v>
      </c>
      <c r="D246" s="152" t="s">
        <v>1274</v>
      </c>
      <c r="E246" s="153">
        <v>46079</v>
      </c>
      <c r="F246" s="128" t="s">
        <v>1275</v>
      </c>
      <c r="G246" s="129" t="s">
        <v>1276</v>
      </c>
      <c r="H246" s="130" t="str">
        <f>HYPERLINK("https://drive.google.com/file/d/1fmjjHceRi07qeYn170bH7ReJeFhbIAvi/view?usp=drivesdk","Dr. Ashish Dubey-Advertising")</f>
        <v xml:space="preserve">Dr. Ashish Dubey-Advertising</v>
      </c>
      <c r="I246" s="131" t="s">
        <v>1266</v>
      </c>
    </row>
    <row r="247" ht="25.5" customHeight="1">
      <c r="A247" s="149" t="s">
        <v>1260</v>
      </c>
      <c r="B247" s="150" t="s">
        <v>1277</v>
      </c>
      <c r="C247" s="156" t="s">
        <v>1278</v>
      </c>
      <c r="D247" s="152" t="s">
        <v>1279</v>
      </c>
      <c r="E247" s="153">
        <v>46079</v>
      </c>
      <c r="F247" s="128" t="s">
        <v>1280</v>
      </c>
      <c r="G247" s="129" t="s">
        <v>1281</v>
      </c>
      <c r="H247" s="130" t="str">
        <f>HYPERLINK("https://drive.google.com/file/d/1i23VV8IEuP-aGaa0CQ24Yql1yZc8hReZ/view?usp=drivesdk","Dr. Maninder Kumar Singh-Graphic Desing  ( PPT Formate not Proper)")</f>
        <v xml:space="preserve">Dr. Maninder Kumar Singh-Graphic Desing  ( PPT Formate not Proper)</v>
      </c>
      <c r="I247" s="131" t="s">
        <v>1266</v>
      </c>
    </row>
    <row r="248" ht="25.5" customHeight="1">
      <c r="A248" s="149" t="s">
        <v>1260</v>
      </c>
      <c r="B248" s="150" t="s">
        <v>1282</v>
      </c>
      <c r="C248" s="151" t="s">
        <v>1283</v>
      </c>
      <c r="D248" s="157" t="s">
        <v>1284</v>
      </c>
      <c r="E248" s="158">
        <v>46079</v>
      </c>
      <c r="F248" s="128" t="s">
        <v>1285</v>
      </c>
      <c r="G248" s="129" t="s">
        <v>1286</v>
      </c>
      <c r="H248" s="130" t="str">
        <f>HYPERLINK("https://drive.google.com/file/d/1T-2OOAkrWCencZMfCmcmn1KNtSntRcY_/view?usp=drivesdk","Dr Megha Taragi-Social Psychology")</f>
        <v xml:space="preserve">Dr Megha Taragi-Social Psychology</v>
      </c>
      <c r="I248" s="131" t="s">
        <v>1287</v>
      </c>
    </row>
    <row r="249" ht="25.5" customHeight="1">
      <c r="A249" s="149" t="s">
        <v>1260</v>
      </c>
      <c r="B249" s="150" t="s">
        <v>1288</v>
      </c>
      <c r="C249" s="151" t="s">
        <v>1289</v>
      </c>
      <c r="D249" s="152" t="s">
        <v>1290</v>
      </c>
      <c r="E249" s="153">
        <v>46079</v>
      </c>
      <c r="F249" s="128" t="s">
        <v>1291</v>
      </c>
      <c r="G249" s="129" t="s">
        <v>1292</v>
      </c>
      <c r="H249" s="130" t="str">
        <f>HYPERLINK("https://drive.google.com/file/d/1R9u6J9TNdSRlMd3_9zv6M5Ywencp3E16/view?usp=drivesdk","Dr. Dayal Singh Satha-Local Self Government")</f>
        <v xml:space="preserve">Dr. Dayal Singh Satha-Local Self Government</v>
      </c>
      <c r="I249" s="131" t="s">
        <v>1287</v>
      </c>
    </row>
    <row r="250" ht="25.5" customHeight="1">
      <c r="A250" s="149" t="s">
        <v>1260</v>
      </c>
      <c r="B250" s="150" t="s">
        <v>1293</v>
      </c>
      <c r="C250" s="151" t="s">
        <v>1294</v>
      </c>
      <c r="D250" s="152" t="s">
        <v>1295</v>
      </c>
      <c r="E250" s="153">
        <v>46079</v>
      </c>
      <c r="F250" s="128" t="s">
        <v>1296</v>
      </c>
      <c r="G250" s="129" t="s">
        <v>1297</v>
      </c>
      <c r="H250" s="130" t="str">
        <f>HYPERLINK("https://drive.google.com/file/d/1CD87JT93ubWaHDXY8nWJZZyiOsnrELwn/view?usp=drivesdk","Dr. Priyanka-Microeconomics I")</f>
        <v xml:space="preserve">Dr. Priyanka-Microeconomics I</v>
      </c>
      <c r="I250" s="131" t="s">
        <v>1287</v>
      </c>
    </row>
    <row r="251" ht="25.5" customHeight="1">
      <c r="A251" s="149" t="s">
        <v>1260</v>
      </c>
      <c r="B251" s="150" t="s">
        <v>1298</v>
      </c>
      <c r="C251" s="159" t="s">
        <v>1299</v>
      </c>
      <c r="D251" s="157" t="s">
        <v>1300</v>
      </c>
      <c r="E251" s="158">
        <v>46079</v>
      </c>
      <c r="F251" s="128" t="s">
        <v>1301</v>
      </c>
      <c r="G251" s="129" t="s">
        <v>1302</v>
      </c>
      <c r="H251" s="130" t="str">
        <f>HYPERLINK("https://drive.google.com/file/d/1olEkoBzHzOQye0vMbwk7fLhuRMh6M0Da/view?usp=drivesdk","Dr.  Rajinder Kaur-Economics of Growth and Development")</f>
        <v xml:space="preserve">Dr.  Rajinder Kaur-Economics of Growth and Development</v>
      </c>
      <c r="I251" s="131" t="s">
        <v>1303</v>
      </c>
    </row>
    <row r="252" ht="25.5" customHeight="1">
      <c r="A252" s="149" t="s">
        <v>1260</v>
      </c>
      <c r="B252" s="150" t="s">
        <v>1304</v>
      </c>
      <c r="C252" s="151" t="s">
        <v>1305</v>
      </c>
      <c r="D252" s="152" t="s">
        <v>1306</v>
      </c>
      <c r="E252" s="153">
        <v>46079</v>
      </c>
      <c r="F252" s="128" t="s">
        <v>1307</v>
      </c>
      <c r="G252" s="129" t="s">
        <v>1308</v>
      </c>
      <c r="H252" s="130" t="str">
        <f>HYPERLINK("https://drive.google.com/file/d/1AVHayipmqFsbmD-iXlGYa2Q3niHw2Zxq/view?usp=drivesdk","Ms. Tanya Mandloi -Psychopathology -2")</f>
        <v xml:space="preserve">Ms. Tanya Mandloi -Psychopathology -2</v>
      </c>
      <c r="I252" s="131" t="s">
        <v>1309</v>
      </c>
    </row>
    <row r="253" ht="25.5" customHeight="1">
      <c r="A253" s="149" t="s">
        <v>1260</v>
      </c>
      <c r="B253" s="150" t="s">
        <v>1310</v>
      </c>
      <c r="C253" s="160" t="s">
        <v>1311</v>
      </c>
      <c r="D253" s="152" t="s">
        <v>1312</v>
      </c>
      <c r="E253" s="153">
        <v>46079</v>
      </c>
      <c r="F253" s="128" t="s">
        <v>1313</v>
      </c>
      <c r="G253" s="129" t="s">
        <v>1314</v>
      </c>
      <c r="H253" s="130" t="str">
        <f>HYPERLINK("https://drive.google.com/file/d/13O8Rg-yukRkWxBHjmNMuk6v1Kc2_i3Sm/view?usp=drivesdk","Mr. Ashish Kotadiya -International Relations theory")</f>
        <v xml:space="preserve">Mr. Ashish Kotadiya -International Relations theory</v>
      </c>
      <c r="I253" s="131" t="s">
        <v>1309</v>
      </c>
    </row>
    <row r="254" ht="25.5" customHeight="1">
      <c r="A254" s="149" t="s">
        <v>1260</v>
      </c>
      <c r="B254" s="150" t="s">
        <v>1315</v>
      </c>
      <c r="C254" s="161" t="s">
        <v>1316</v>
      </c>
      <c r="D254" s="157" t="s">
        <v>1317</v>
      </c>
      <c r="E254" s="158">
        <v>46079</v>
      </c>
      <c r="F254" s="128" t="s">
        <v>1318</v>
      </c>
      <c r="G254" s="129" t="s">
        <v>1319</v>
      </c>
      <c r="H254" s="130" t="str">
        <f>HYPERLINK("https://drive.google.com/file/d/1q0cmv6vW345h1HsGYkfqBmU74CiGmble/view?usp=drivesdk","Ms. Gargi Sharma-Fiction - 1")</f>
        <v xml:space="preserve">Ms. Gargi Sharma-Fiction - 1</v>
      </c>
      <c r="I254" s="131" t="s">
        <v>1309</v>
      </c>
    </row>
    <row r="255" ht="25.5" customHeight="1">
      <c r="A255" s="149" t="s">
        <v>1260</v>
      </c>
      <c r="B255" s="150" t="s">
        <v>1320</v>
      </c>
      <c r="C255" s="151" t="s">
        <v>1321</v>
      </c>
      <c r="D255" s="157" t="s">
        <v>1322</v>
      </c>
      <c r="E255" s="162">
        <v>46079</v>
      </c>
      <c r="F255" s="128" t="s">
        <v>1323</v>
      </c>
      <c r="G255" s="129" t="s">
        <v>1324</v>
      </c>
      <c r="H255" s="130" t="str">
        <f>HYPERLINK("https://drive.google.com/file/d/1XyvvqNGoy0wjZ7Vu5Imz30T00CS5Z7sl/view?usp=drivesdk","Dr Vijayalaxmi-Modern English Grammar Structure")</f>
        <v xml:space="preserve">Dr Vijayalaxmi-Modern English Grammar Structure</v>
      </c>
      <c r="I255" s="131" t="s">
        <v>1325</v>
      </c>
    </row>
    <row r="256" ht="25.5" customHeight="1">
      <c r="A256" s="149" t="s">
        <v>1326</v>
      </c>
      <c r="B256" s="163" t="s">
        <v>1327</v>
      </c>
      <c r="C256" s="163" t="s">
        <v>1328</v>
      </c>
      <c r="D256" s="107" t="s">
        <v>1329</v>
      </c>
      <c r="E256" s="108">
        <v>46139</v>
      </c>
      <c r="F256" s="128" t="s">
        <v>1330</v>
      </c>
      <c r="G256" s="129" t="s">
        <v>1331</v>
      </c>
      <c r="H256" s="130" t="str">
        <f>HYPERLINK("https://drive.google.com/file/d/1PDxGUirp2TuKaTrjms-Pgq4d7VLrRpoN/view?usp=drivesdk","Mr Ravi Christian-Radiation Protection in Diagnostic Radiology")</f>
        <v xml:space="preserve">Mr Ravi Christian-Radiation Protection in Diagnostic Radiology</v>
      </c>
      <c r="I256" s="131" t="s">
        <v>1332</v>
      </c>
    </row>
    <row r="257" ht="25.5" customHeight="1">
      <c r="A257" s="149" t="s">
        <v>1326</v>
      </c>
      <c r="B257" s="163" t="s">
        <v>1333</v>
      </c>
      <c r="C257" s="163" t="s">
        <v>1334</v>
      </c>
      <c r="D257" s="107" t="s">
        <v>1335</v>
      </c>
      <c r="E257" s="108">
        <v>46139</v>
      </c>
      <c r="F257" s="128" t="s">
        <v>1336</v>
      </c>
      <c r="G257" s="129" t="s">
        <v>1337</v>
      </c>
      <c r="H257" s="130" t="str">
        <f>HYPERLINK("https://drive.google.com/file/d/1G9QKPmPdPcCthpPrgACkeyu4w5rwfvxz/view?usp=drivesdk","Ms Nilofer Neshat-Computed Tomography")</f>
        <v xml:space="preserve">Ms Nilofer Neshat-Computed Tomography</v>
      </c>
      <c r="I257" s="131" t="s">
        <v>1332</v>
      </c>
    </row>
    <row r="258" ht="25.5" customHeight="1">
      <c r="A258" s="149" t="s">
        <v>1326</v>
      </c>
      <c r="B258" s="163" t="s">
        <v>1338</v>
      </c>
      <c r="C258" s="163" t="s">
        <v>1339</v>
      </c>
      <c r="D258" s="107" t="s">
        <v>1340</v>
      </c>
      <c r="E258" s="108">
        <v>46139</v>
      </c>
      <c r="F258" s="128" t="s">
        <v>1341</v>
      </c>
      <c r="G258" s="129" t="s">
        <v>1342</v>
      </c>
      <c r="H258" s="130" t="str">
        <f>HYPERLINK("https://drive.google.com/file/d/1ZVkP0k6MJH1cCPg07_LvhU9COVhn0iEi/view?usp=drivesdk","Mr. Khush Jain-Ultrasonography")</f>
        <v xml:space="preserve">Mr. Khush Jain-Ultrasonography</v>
      </c>
      <c r="I258" s="131" t="s">
        <v>1332</v>
      </c>
    </row>
    <row r="259" ht="25.5" customHeight="1">
      <c r="A259" s="149" t="s">
        <v>1326</v>
      </c>
      <c r="B259" s="163" t="s">
        <v>1343</v>
      </c>
      <c r="C259" s="163" t="s">
        <v>1344</v>
      </c>
      <c r="D259" s="107" t="s">
        <v>1345</v>
      </c>
      <c r="E259" s="108">
        <v>46139</v>
      </c>
      <c r="F259" s="128" t="s">
        <v>1346</v>
      </c>
      <c r="G259" s="129" t="s">
        <v>1347</v>
      </c>
      <c r="H259" s="130" t="str">
        <f>HYPERLINK("https://drive.google.com/file/d/1AaG2wdRdwL1Aqc27HH7xX2Jfw0xLS2SQ/view?usp=drivesdk","Ms. Arpita Chakraborty-Radiation safety and protection ")</f>
        <v xml:space="preserve">Ms. Arpita Chakraborty-Radiation safety and protection </v>
      </c>
      <c r="I259" s="131" t="s">
        <v>1332</v>
      </c>
    </row>
    <row r="260" ht="25.5" customHeight="1">
      <c r="A260" s="149" t="s">
        <v>1326</v>
      </c>
      <c r="B260" s="163" t="s">
        <v>1348</v>
      </c>
      <c r="C260" s="163" t="s">
        <v>1349</v>
      </c>
      <c r="D260" s="107" t="s">
        <v>1350</v>
      </c>
      <c r="E260" s="108">
        <v>46139</v>
      </c>
      <c r="F260" s="128" t="s">
        <v>1351</v>
      </c>
      <c r="G260" s="129" t="s">
        <v>1352</v>
      </c>
      <c r="H260" s="130" t="str">
        <f>HYPERLINK("https://drive.google.com/file/d/1DGV8yY0aZp_Hlz_WmyzPhSg9Qtx9fhGf/view?usp=drivesdk","Mr. Pratap Singh-Special procedure and Dark room technique (T)")</f>
        <v xml:space="preserve">Mr. Pratap Singh-Special procedure and Dark room technique (T)</v>
      </c>
      <c r="I260" s="131" t="s">
        <v>1332</v>
      </c>
    </row>
    <row r="261" ht="25.5" customHeight="1">
      <c r="A261" s="149" t="s">
        <v>1326</v>
      </c>
      <c r="B261" s="163" t="s">
        <v>1353</v>
      </c>
      <c r="C261" s="163" t="s">
        <v>1354</v>
      </c>
      <c r="D261" s="107" t="s">
        <v>1355</v>
      </c>
      <c r="E261" s="108">
        <v>46139</v>
      </c>
      <c r="F261" s="128" t="s">
        <v>1356</v>
      </c>
      <c r="G261" s="129" t="s">
        <v>1357</v>
      </c>
      <c r="H261" s="130" t="str">
        <f>HYPERLINK("https://drive.google.com/file/d/1NmILP48QHT-qnQEt8NIRR-w7QtIx8cMh/view?usp=drivesdk","Mr. Lal Ramdinanwe-Radiological Anatomy (T)")</f>
        <v xml:space="preserve">Mr. Lal Ramdinanwe-Radiological Anatomy (T)</v>
      </c>
      <c r="I261" s="131" t="s">
        <v>1358</v>
      </c>
    </row>
    <row r="262" ht="25.5" customHeight="1">
      <c r="A262" s="149" t="s">
        <v>1326</v>
      </c>
      <c r="B262" s="163" t="s">
        <v>1359</v>
      </c>
      <c r="C262" s="163" t="s">
        <v>1360</v>
      </c>
      <c r="D262" s="107" t="s">
        <v>1361</v>
      </c>
      <c r="E262" s="108">
        <v>46139</v>
      </c>
      <c r="F262" s="128" t="s">
        <v>1362</v>
      </c>
      <c r="G262" s="129" t="s">
        <v>1363</v>
      </c>
      <c r="H262" s="130" t="str">
        <f>HYPERLINK("https://drive.google.com/file/d/1uQgquFkcA8JqS4fkGDjj3wlL-A31a5QO/view?usp=drivesdk","Ms. Shrawani Sonewane-Quality control ")</f>
        <v xml:space="preserve">Ms. Shrawani Sonewane-Quality control </v>
      </c>
      <c r="I262" s="131" t="s">
        <v>1358</v>
      </c>
    </row>
    <row r="263" ht="25.5" customHeight="1">
      <c r="A263" s="149" t="s">
        <v>1326</v>
      </c>
      <c r="B263" s="163" t="s">
        <v>1364</v>
      </c>
      <c r="C263" s="163" t="s">
        <v>1365</v>
      </c>
      <c r="D263" s="107" t="s">
        <v>1366</v>
      </c>
      <c r="E263" s="108">
        <v>46139</v>
      </c>
      <c r="F263" s="128" t="s">
        <v>1367</v>
      </c>
      <c r="G263" s="129" t="s">
        <v>1368</v>
      </c>
      <c r="H263" s="130" t="str">
        <f>HYPERLINK("https://drive.google.com/file/d/1Y0ma84jXz4l3wx_KrDjmvKlvRo6RFzcW/view?usp=drivesdk","Ms. Anha Ashai-Principals Of Operation Theatre Management (T) ")</f>
        <v xml:space="preserve">Ms. Anha Ashai-Principals Of Operation Theatre Management (T) </v>
      </c>
      <c r="I263" s="131" t="s">
        <v>1358</v>
      </c>
    </row>
    <row r="264" ht="25.5" customHeight="1">
      <c r="A264" s="149" t="s">
        <v>1326</v>
      </c>
      <c r="B264" s="164" t="s">
        <v>1369</v>
      </c>
      <c r="C264" s="164" t="s">
        <v>1370</v>
      </c>
      <c r="D264" s="107" t="s">
        <v>1371</v>
      </c>
      <c r="E264" s="108">
        <v>46139</v>
      </c>
      <c r="F264" s="128" t="s">
        <v>1372</v>
      </c>
      <c r="G264" s="129" t="s">
        <v>1373</v>
      </c>
      <c r="H264" s="130" t="str">
        <f>HYPERLINK("https://drive.google.com/file/d/18QrEyqdiYpFkvJl2A5W6_sEficnPl-1s/view?usp=drivesdk","Ms. Sampreeth Naidu-Basic Anesthetic Techniques (T)")</f>
        <v xml:space="preserve">Ms. Sampreeth Naidu-Basic Anesthetic Techniques (T)</v>
      </c>
      <c r="I264" s="131" t="s">
        <v>1358</v>
      </c>
    </row>
    <row r="265" ht="25.5" customHeight="1">
      <c r="A265" s="149" t="s">
        <v>1326</v>
      </c>
      <c r="B265" s="163" t="s">
        <v>1374</v>
      </c>
      <c r="C265" s="163" t="s">
        <v>1375</v>
      </c>
      <c r="D265" s="107" t="s">
        <v>1376</v>
      </c>
      <c r="E265" s="108">
        <v>46139</v>
      </c>
      <c r="F265" s="128" t="s">
        <v>1377</v>
      </c>
      <c r="G265" s="129" t="s">
        <v>1378</v>
      </c>
      <c r="H265" s="130" t="str">
        <f>HYPERLINK("https://drive.google.com/file/d/1bxqZEi6Syp9wQopr3hLaNydfbvzZvR_l/view?usp=drivesdk","Ms.Gazala Parveen-Foundation Of Medical Laboratory Science")</f>
        <v xml:space="preserve">Ms.Gazala Parveen-Foundation Of Medical Laboratory Science</v>
      </c>
      <c r="I265" s="131" t="s">
        <v>1358</v>
      </c>
    </row>
    <row r="266" ht="25.5" customHeight="1">
      <c r="A266" s="149" t="s">
        <v>1326</v>
      </c>
      <c r="B266" s="163" t="s">
        <v>1379</v>
      </c>
      <c r="C266" s="163" t="s">
        <v>1380</v>
      </c>
      <c r="D266" s="107" t="s">
        <v>1381</v>
      </c>
      <c r="E266" s="108">
        <v>46139</v>
      </c>
      <c r="F266" s="128" t="s">
        <v>1382</v>
      </c>
      <c r="G266" s="129" t="s">
        <v>1383</v>
      </c>
      <c r="H266" s="130" t="str">
        <f>HYPERLINK("https://drive.google.com/file/d/1pcZ84ESvWR91eVOuXVmYCLHFHB17OFZf/view?usp=drivesdk","Mr. Vinay Pathak-Metabolism and Molecular Biology (T) ")</f>
        <v xml:space="preserve">Mr. Vinay Pathak-Metabolism and Molecular Biology (T) </v>
      </c>
      <c r="I266" s="131" t="s">
        <v>1358</v>
      </c>
    </row>
    <row r="267" ht="25.5" customHeight="1">
      <c r="A267" s="149" t="s">
        <v>1326</v>
      </c>
      <c r="B267" s="163" t="s">
        <v>1384</v>
      </c>
      <c r="C267" s="163" t="s">
        <v>1385</v>
      </c>
      <c r="D267" s="107" t="s">
        <v>1386</v>
      </c>
      <c r="E267" s="108">
        <v>46139</v>
      </c>
      <c r="F267" s="128" t="s">
        <v>1387</v>
      </c>
      <c r="G267" s="129" t="s">
        <v>1388</v>
      </c>
      <c r="H267" s="130" t="str">
        <f>HYPERLINK("https://drive.google.com/file/d/10xrdTQ5ZKqLI9vs1yj7X1iuQy-0rtW_Y/view?usp=drivesdk","Ms.Gunjan Shrivastava-Medical Microbiology - II ( Immunology &amp; Virology) (T)")</f>
        <v xml:space="preserve">Ms.Gunjan Shrivastava-Medical Microbiology - II ( Immunology &amp; Virology) (T)</v>
      </c>
      <c r="I267" s="131" t="s">
        <v>1358</v>
      </c>
    </row>
    <row r="268" ht="25.5" customHeight="1">
      <c r="A268" s="149" t="s">
        <v>1326</v>
      </c>
      <c r="B268" s="165" t="s">
        <v>1389</v>
      </c>
      <c r="C268" s="166" t="s">
        <v>1390</v>
      </c>
      <c r="D268" s="107" t="s">
        <v>1391</v>
      </c>
      <c r="E268" s="108">
        <v>46139</v>
      </c>
      <c r="F268" s="128" t="s">
        <v>1392</v>
      </c>
      <c r="G268" s="129" t="s">
        <v>1393</v>
      </c>
      <c r="H268" s="130" t="str">
        <f>HYPERLINK("https://drive.google.com/file/d/1b1IsPmaD0u5HGNOJDAyxX3QFimOMO_2B/view?usp=drivesdk","Dr.Zeba Shaikh-ANATOMY &amp; PHYSIOLOGY - I ")</f>
        <v xml:space="preserve">Dr.Zeba Shaikh-ANATOMY &amp; PHYSIOLOGY - I </v>
      </c>
      <c r="I268" s="131" t="s">
        <v>1394</v>
      </c>
    </row>
    <row r="269" ht="25.5" customHeight="1">
      <c r="A269" s="149" t="s">
        <v>9</v>
      </c>
      <c r="B269" s="167" t="s">
        <v>1395</v>
      </c>
      <c r="C269" s="168" t="s">
        <v>1396</v>
      </c>
      <c r="D269" s="77" t="s">
        <v>1397</v>
      </c>
      <c r="E269" s="108">
        <v>46140</v>
      </c>
      <c r="F269" s="128" t="s">
        <v>1398</v>
      </c>
      <c r="G269" s="129" t="s">
        <v>1399</v>
      </c>
      <c r="H269" s="130" t="str">
        <f>HYPERLINK("https://drive.google.com/file/d/1JIRTzGMT9AorQptG1EyOMihSLCNT8KV-/view?usp=drivesdk","Dr. Poonam Patel-Introduction to Business organization")</f>
        <v xml:space="preserve">Dr. Poonam Patel-Introduction to Business organization</v>
      </c>
      <c r="I269" s="131" t="s">
        <v>1400</v>
      </c>
    </row>
    <row r="270" ht="25.5" customHeight="1">
      <c r="A270" s="149" t="s">
        <v>9</v>
      </c>
      <c r="B270" s="169" t="s">
        <v>1401</v>
      </c>
      <c r="C270" s="170" t="s">
        <v>1402</v>
      </c>
      <c r="D270" s="77" t="s">
        <v>1403</v>
      </c>
      <c r="E270" s="108">
        <v>46140</v>
      </c>
      <c r="F270" s="128" t="s">
        <v>1404</v>
      </c>
      <c r="G270" s="129" t="s">
        <v>1405</v>
      </c>
      <c r="H270" s="130" t="str">
        <f>HYPERLINK("https://drive.google.com/file/d/1XDMaegmSUtyPXioSG-I5UvONU_6FoBGt/view?usp=drivesdk","Ms. Bhakti Vyas-Ethics and Human Values")</f>
        <v xml:space="preserve">Ms. Bhakti Vyas-Ethics and Human Values</v>
      </c>
      <c r="I270" s="131" t="s">
        <v>1406</v>
      </c>
    </row>
    <row r="271" ht="25.5" customHeight="1">
      <c r="A271" s="149" t="s">
        <v>1326</v>
      </c>
      <c r="B271" s="163" t="s">
        <v>1407</v>
      </c>
      <c r="C271" s="171" t="s">
        <v>1408</v>
      </c>
      <c r="D271" s="77" t="s">
        <v>439</v>
      </c>
      <c r="E271" s="108">
        <v>46140</v>
      </c>
      <c r="F271" s="128" t="s">
        <v>1409</v>
      </c>
      <c r="G271" s="129" t="s">
        <v>1410</v>
      </c>
      <c r="H271" s="130" t="str">
        <f>HYPERLINK("https://drive.google.com/file/d/1EElqmzN71SlQJz7LrqJrMxC1Pzwgo5AW/view?usp=drivesdk","Ms. Pratistha Rajvanshi -Visual Optics")</f>
        <v xml:space="preserve">Ms. Pratistha Rajvanshi -Visual Optics</v>
      </c>
      <c r="I271" s="131" t="s">
        <v>1411</v>
      </c>
    </row>
    <row r="272" ht="25.5" customHeight="1">
      <c r="A272" s="149" t="s">
        <v>1326</v>
      </c>
      <c r="B272" s="163" t="s">
        <v>1412</v>
      </c>
      <c r="C272" s="171" t="s">
        <v>1413</v>
      </c>
      <c r="D272" s="77" t="s">
        <v>1414</v>
      </c>
      <c r="E272" s="108">
        <v>46140</v>
      </c>
      <c r="F272" s="128" t="s">
        <v>1415</v>
      </c>
      <c r="G272" s="129" t="s">
        <v>1416</v>
      </c>
      <c r="H272" s="130" t="str">
        <f>HYPERLINK("https://drive.google.com/file/d/1S1qSd2xGA9aoTlten9wmsQkqd5fWaWSA/view?usp=drivesdk","Mr. Rohan Kalita-Contact Lens (T)")</f>
        <v xml:space="preserve">Mr. Rohan Kalita-Contact Lens (T)</v>
      </c>
      <c r="I272" s="131" t="s">
        <v>1411</v>
      </c>
    </row>
    <row r="273" ht="25.5" customHeight="1">
      <c r="A273" s="149" t="s">
        <v>1326</v>
      </c>
      <c r="B273" s="163" t="s">
        <v>1417</v>
      </c>
      <c r="C273" s="171" t="s">
        <v>1418</v>
      </c>
      <c r="D273" s="77" t="s">
        <v>1419</v>
      </c>
      <c r="E273" s="108">
        <v>46140</v>
      </c>
      <c r="F273" s="128" t="s">
        <v>1420</v>
      </c>
      <c r="G273" s="129" t="s">
        <v>1421</v>
      </c>
      <c r="H273" s="130" t="str">
        <f>HYPERLINK("https://drive.google.com/file/d/1CgVXVUfI6yhMN0CSLD8yjp0cVe0vI9s7/view?usp=drivesdk","Ms. Pratishtha Rajvanshi -Paper 2: Ocular Anatomy Physiology &amp; Biochemistry (T)")</f>
        <v xml:space="preserve">Ms. Pratishtha Rajvanshi -Paper 2: Ocular Anatomy Physiology &amp; Biochemistry (T)</v>
      </c>
      <c r="I273" s="131" t="s">
        <v>1411</v>
      </c>
    </row>
    <row r="274" ht="25.5" customHeight="1">
      <c r="A274" s="149" t="s">
        <v>1326</v>
      </c>
      <c r="B274" s="163" t="s">
        <v>1422</v>
      </c>
      <c r="C274" s="171" t="s">
        <v>1423</v>
      </c>
      <c r="D274" s="77" t="s">
        <v>1424</v>
      </c>
      <c r="E274" s="108">
        <v>46140</v>
      </c>
      <c r="F274" s="128" t="s">
        <v>1425</v>
      </c>
      <c r="G274" s="129" t="s">
        <v>1426</v>
      </c>
      <c r="H274" s="130" t="str">
        <f>HYPERLINK("https://drive.google.com/file/d/1aksrqnfFVuNBiIhU4dgPr1snq3zyHH5Q/view?usp=drivesdk","Ms. Saumya -Paper 1: Ocular Diseases and Investigations (T)")</f>
        <v xml:space="preserve">Ms. Saumya -Paper 1: Ocular Diseases and Investigations (T)</v>
      </c>
      <c r="I274" s="131" t="s">
        <v>1411</v>
      </c>
    </row>
    <row r="275" ht="25.5" customHeight="1">
      <c r="A275" s="149" t="s">
        <v>1326</v>
      </c>
      <c r="B275" s="163" t="s">
        <v>1407</v>
      </c>
      <c r="C275" s="171" t="s">
        <v>1427</v>
      </c>
      <c r="D275" s="77" t="s">
        <v>1428</v>
      </c>
      <c r="E275" s="108">
        <v>46140</v>
      </c>
      <c r="F275" s="128" t="s">
        <v>1429</v>
      </c>
      <c r="G275" s="129" t="s">
        <v>1430</v>
      </c>
      <c r="H275" s="130" t="str">
        <f>HYPERLINK("https://drive.google.com/file/d/1Fp0lFGYN0PMUATj_1E9mziAx5dqYzmpK/view?usp=drivesdk","Ms. Pratistha Rajvanshi -Paper 2: Ocular Pharmacology Pathology and Community Ophthalmology (T)")</f>
        <v xml:space="preserve">Ms. Pratistha Rajvanshi -Paper 2: Ocular Pharmacology Pathology and Community Ophthalmology (T)</v>
      </c>
      <c r="I275" s="131" t="s">
        <v>1411</v>
      </c>
    </row>
    <row r="276" ht="25.5" customHeight="1">
      <c r="A276" s="149" t="s">
        <v>1326</v>
      </c>
      <c r="B276" s="172" t="s">
        <v>1431</v>
      </c>
      <c r="C276" s="166" t="s">
        <v>1432</v>
      </c>
      <c r="D276" s="77" t="s">
        <v>1433</v>
      </c>
      <c r="E276" s="108">
        <v>46140</v>
      </c>
      <c r="F276" s="128" t="s">
        <v>1434</v>
      </c>
      <c r="G276" s="129" t="s">
        <v>1435</v>
      </c>
      <c r="H276" s="130" t="str">
        <f>HYPERLINK("https://drive.google.com/file/d/1EoibY38ZlxkFWIwiN1NANbVzoNEm11fl/view?usp=drivesdk","Mr. Arpit Trivedi -Low Vision (T) ")</f>
        <v xml:space="preserve">Mr. Arpit Trivedi -Low Vision (T) </v>
      </c>
      <c r="I276" s="131" t="s">
        <v>1436</v>
      </c>
    </row>
    <row r="277" ht="25.5" customHeight="1">
      <c r="A277" s="149" t="s">
        <v>1326</v>
      </c>
      <c r="B277" s="163" t="s">
        <v>1437</v>
      </c>
      <c r="C277" s="171" t="s">
        <v>1438</v>
      </c>
      <c r="D277" s="77" t="s">
        <v>1439</v>
      </c>
      <c r="E277" s="108">
        <v>46140</v>
      </c>
      <c r="F277" s="128" t="s">
        <v>1440</v>
      </c>
      <c r="G277" s="129" t="s">
        <v>1441</v>
      </c>
      <c r="H277" s="130" t="str">
        <f>HYPERLINK("https://drive.google.com/file/d/1EORJNG1zLwCkP7ui7VBCUzojNfbmxqMj/view?usp=drivesdk","Ms. Sushrita Mahadani -Systemic Diseas (T)")</f>
        <v xml:space="preserve">Ms. Sushrita Mahadani -Systemic Diseas (T)</v>
      </c>
      <c r="I277" s="131" t="s">
        <v>1436</v>
      </c>
    </row>
    <row r="278" ht="25.5" customHeight="1">
      <c r="A278" s="149" t="s">
        <v>1326</v>
      </c>
      <c r="B278" s="163" t="s">
        <v>1442</v>
      </c>
      <c r="C278" s="171" t="s">
        <v>1443</v>
      </c>
      <c r="D278" s="77" t="s">
        <v>1444</v>
      </c>
      <c r="E278" s="108">
        <v>46140</v>
      </c>
      <c r="F278" s="128" t="s">
        <v>1445</v>
      </c>
      <c r="G278" s="129" t="s">
        <v>1446</v>
      </c>
      <c r="H278" s="130" t="str">
        <f>HYPERLINK("https://drive.google.com/file/d/1aCOHmrqdJc7IOl4BPHc43I758V_jZJFO/view?usp=drivesdk","Ms. Saumya 
-Paper 4: Health Care and Management (T)")</f>
        <v xml:space="preserve">Ms. Saumya 
-Paper 4: Health Care and Management (T)</v>
      </c>
      <c r="I278" s="131" t="s">
        <v>1436</v>
      </c>
    </row>
    <row r="279" ht="25.5" customHeight="1">
      <c r="A279" s="149" t="s">
        <v>1326</v>
      </c>
      <c r="B279" s="163" t="s">
        <v>1447</v>
      </c>
      <c r="C279" s="171" t="s">
        <v>1448</v>
      </c>
      <c r="D279" s="77" t="s">
        <v>1449</v>
      </c>
      <c r="E279" s="108">
        <v>46140</v>
      </c>
      <c r="F279" s="128" t="s">
        <v>1450</v>
      </c>
      <c r="G279" s="129" t="s">
        <v>1451</v>
      </c>
      <c r="H279" s="130" t="str">
        <f>HYPERLINK("https://drive.google.com/file/d/1LjyGGpS45Ll96FS3lrngkOIgpWxOk9Nu/view?usp=drivesdk","MS. JYOTI AGARWAL-Echocardiography - (T)")</f>
        <v xml:space="preserve">MS. JYOTI AGARWAL-Echocardiography - (T)</v>
      </c>
      <c r="I279" s="131" t="s">
        <v>1436</v>
      </c>
    </row>
    <row r="280" ht="25.5" customHeight="1">
      <c r="A280" s="149" t="s">
        <v>1326</v>
      </c>
      <c r="B280" s="163" t="s">
        <v>1452</v>
      </c>
      <c r="C280" s="171" t="s">
        <v>1453</v>
      </c>
      <c r="D280" s="77" t="s">
        <v>1454</v>
      </c>
      <c r="E280" s="108">
        <v>46140</v>
      </c>
      <c r="F280" s="128" t="s">
        <v>1455</v>
      </c>
      <c r="G280" s="129" t="s">
        <v>1456</v>
      </c>
      <c r="H280" s="130" t="str">
        <f>HYPERLINK("https://drive.google.com/file/d/1rJSugrsaaVkn2jLVojtByZNwnlpRmAUf/view?usp=drivesdk","MS. JANNIFAR KHATI-Anatomy, Physiology &amp; Biochemistry of the Heart")</f>
        <v xml:space="preserve">MS. JANNIFAR KHATI-Anatomy, Physiology &amp; Biochemistry of the Heart</v>
      </c>
      <c r="I280" s="131" t="s">
        <v>1436</v>
      </c>
    </row>
    <row r="281" ht="25.5" customHeight="1">
      <c r="A281" s="149" t="s">
        <v>1326</v>
      </c>
      <c r="B281" s="163" t="s">
        <v>1457</v>
      </c>
      <c r="C281" s="166" t="s">
        <v>1458</v>
      </c>
      <c r="D281" s="77" t="s">
        <v>1459</v>
      </c>
      <c r="E281" s="108">
        <v>46140</v>
      </c>
      <c r="F281" s="128" t="s">
        <v>1460</v>
      </c>
      <c r="G281" s="129" t="s">
        <v>1461</v>
      </c>
      <c r="H281" s="130" t="str">
        <f>HYPERLINK("https://drive.google.com/file/d/1MRq0lnKJkaCW0O3Y1bwOs_wR1DVUX7fM/view?usp=drivesdk","MR.WALTER URONU-Electrocardiogram (T)")</f>
        <v xml:space="preserve">MR.WALTER URONU-Electrocardiogram (T)</v>
      </c>
      <c r="I281" s="131" t="s">
        <v>1436</v>
      </c>
    </row>
    <row r="282" ht="25.5" customHeight="1">
      <c r="A282" s="149" t="s">
        <v>1326</v>
      </c>
      <c r="B282" s="163" t="s">
        <v>1462</v>
      </c>
      <c r="C282" s="171" t="s">
        <v>1463</v>
      </c>
      <c r="D282" s="77" t="s">
        <v>1464</v>
      </c>
      <c r="E282" s="108">
        <v>46140</v>
      </c>
      <c r="F282" s="128" t="s">
        <v>1465</v>
      </c>
      <c r="G282" s="129" t="s">
        <v>1466</v>
      </c>
      <c r="H282" s="130" t="str">
        <f>HYPERLINK("https://drive.google.com/file/d/1Isy2a1Ht-RPUQrvF4lyky6j_3Up1v6Fv/view?usp=drivesdk","MS.SAMPADA GAIKWAD-Medicine Relevant to Cardiac Disorders -I (T)")</f>
        <v xml:space="preserve">MS.SAMPADA GAIKWAD-Medicine Relevant to Cardiac Disorders -I (T)</v>
      </c>
      <c r="I282" s="131" t="s">
        <v>1467</v>
      </c>
    </row>
    <row r="283" ht="25.5" customHeight="1">
      <c r="A283" s="149" t="s">
        <v>1326</v>
      </c>
      <c r="B283" s="163" t="s">
        <v>1468</v>
      </c>
      <c r="C283" s="171" t="s">
        <v>1469</v>
      </c>
      <c r="D283" s="77" t="s">
        <v>1470</v>
      </c>
      <c r="E283" s="108">
        <v>46140</v>
      </c>
      <c r="F283" s="128" t="s">
        <v>1471</v>
      </c>
      <c r="G283" s="129" t="s">
        <v>1472</v>
      </c>
      <c r="H283" s="130" t="str">
        <f>HYPERLINK("https://drive.google.com/file/d/1wN5STiSy4V7V-7IMxN-LJQmLrm-lV_Sz/view?usp=drivesdk","MS.AYESHA CHAUDHARY-SEC-1: Management of Lifestyle Disorders")</f>
        <v xml:space="preserve">MS.AYESHA CHAUDHARY-SEC-1: Management of Lifestyle Disorders</v>
      </c>
      <c r="I283" s="131" t="s">
        <v>1467</v>
      </c>
    </row>
    <row r="284" ht="25.5" customHeight="1">
      <c r="A284" s="149" t="s">
        <v>1326</v>
      </c>
      <c r="B284" s="163" t="s">
        <v>1473</v>
      </c>
      <c r="C284" s="166" t="s">
        <v>1474</v>
      </c>
      <c r="D284" s="77" t="s">
        <v>1475</v>
      </c>
      <c r="E284" s="108">
        <v>46140</v>
      </c>
      <c r="F284" s="128" t="s">
        <v>1476</v>
      </c>
      <c r="G284" s="129" t="s">
        <v>1477</v>
      </c>
      <c r="H284" s="130" t="str">
        <f>HYPERLINK("https://drive.google.com/file/d/1NwHGrDGAPiXcXXisyBKqiMA5lvkfHEN3/view?usp=drivesdk","MS.LEKHA-Paper 4: Cardiac Diagnostic Methodologies(T) ")</f>
        <v xml:space="preserve">MS.LEKHA-Paper 4: Cardiac Diagnostic Methodologies(T) </v>
      </c>
      <c r="I284" s="131" t="s">
        <v>1467</v>
      </c>
    </row>
    <row r="285" ht="25.5" customHeight="1">
      <c r="A285" s="149" t="s">
        <v>1326</v>
      </c>
      <c r="B285" s="163" t="s">
        <v>1478</v>
      </c>
      <c r="C285" s="173" t="s">
        <v>1479</v>
      </c>
      <c r="D285" s="77" t="s">
        <v>1480</v>
      </c>
      <c r="E285" s="108">
        <v>46140</v>
      </c>
      <c r="F285" s="128" t="s">
        <v>1481</v>
      </c>
      <c r="G285" s="129" t="s">
        <v>1482</v>
      </c>
      <c r="H285" s="130" t="str">
        <f>HYPERLINK("https://drive.google.com/file/d/1kQtKmzBWIvdEXACKQljM6nGachqKa2kx/view?usp=drivesdk","MS. VISHAKA THAKOR-Paper 1: Introduction to Cardiac care Technology(T)")</f>
        <v xml:space="preserve">MS. VISHAKA THAKOR-Paper 1: Introduction to Cardiac care Technology(T)</v>
      </c>
      <c r="I285" s="131" t="s">
        <v>1467</v>
      </c>
    </row>
    <row r="286" ht="25.5" customHeight="1">
      <c r="A286" s="149" t="s">
        <v>1326</v>
      </c>
      <c r="B286" s="174" t="s">
        <v>1483</v>
      </c>
      <c r="C286" s="175" t="s">
        <v>1484</v>
      </c>
      <c r="D286" s="77" t="s">
        <v>1485</v>
      </c>
      <c r="E286" s="108">
        <v>46140</v>
      </c>
      <c r="F286" s="128" t="s">
        <v>1486</v>
      </c>
      <c r="G286" s="129" t="s">
        <v>1487</v>
      </c>
      <c r="H286" s="130" t="str">
        <f>HYPERLINK("https://drive.google.com/file/d/1_9W9SiqGVxm4rgU1wmsWTzoBAW5etXoR/view?usp=drivesdk","MS.SUSMITA BHAKT-Cardiac Catheterization (T)")</f>
        <v xml:space="preserve">MS.SUSMITA BHAKT-Cardiac Catheterization (T)</v>
      </c>
      <c r="I286" s="131" t="s">
        <v>1467</v>
      </c>
    </row>
    <row r="287" ht="25.5" customHeight="1">
      <c r="A287" s="176" t="s">
        <v>809</v>
      </c>
      <c r="B287" s="177" t="s">
        <v>1488</v>
      </c>
      <c r="C287" s="178" t="s">
        <v>1489</v>
      </c>
      <c r="D287" s="77" t="s">
        <v>1490</v>
      </c>
      <c r="E287" s="179">
        <v>46140</v>
      </c>
      <c r="F287" s="180"/>
      <c r="G287" s="180"/>
      <c r="H287" s="180"/>
      <c r="I287" s="181"/>
    </row>
    <row r="288" ht="25.5" customHeight="1">
      <c r="A288" s="182" t="s">
        <v>809</v>
      </c>
      <c r="B288" s="183" t="s">
        <v>1491</v>
      </c>
      <c r="C288" s="184" t="s">
        <v>1492</v>
      </c>
      <c r="D288" s="185" t="s">
        <v>1493</v>
      </c>
      <c r="E288" s="186">
        <v>46140</v>
      </c>
      <c r="F288" s="187" t="s">
        <v>1494</v>
      </c>
      <c r="G288" s="188" t="s">
        <v>1495</v>
      </c>
      <c r="H288" s="188" t="s">
        <v>1496</v>
      </c>
      <c r="I288" s="189" t="s">
        <v>1497</v>
      </c>
      <c r="J288" s="190"/>
      <c r="K288" s="190"/>
    </row>
    <row r="289" ht="25.5" customHeight="1">
      <c r="A289" s="191" t="s">
        <v>809</v>
      </c>
      <c r="B289" s="192" t="s">
        <v>1498</v>
      </c>
      <c r="C289" s="193" t="s">
        <v>1499</v>
      </c>
      <c r="D289" s="194" t="s">
        <v>1500</v>
      </c>
      <c r="E289" s="195">
        <v>46140</v>
      </c>
      <c r="F289" s="196" t="s">
        <v>1501</v>
      </c>
      <c r="G289" s="197" t="s">
        <v>1502</v>
      </c>
      <c r="H289" s="197" t="s">
        <v>1503</v>
      </c>
      <c r="I289" s="198" t="s">
        <v>1497</v>
      </c>
      <c r="J289" s="190"/>
      <c r="K289" s="190"/>
    </row>
    <row r="290" ht="25.5" customHeight="1">
      <c r="A290" s="199" t="s">
        <v>1504</v>
      </c>
      <c r="B290" s="200" t="s">
        <v>1505</v>
      </c>
      <c r="C290" s="201" t="s">
        <v>1506</v>
      </c>
      <c r="D290" s="194" t="s">
        <v>1507</v>
      </c>
      <c r="E290" s="202">
        <v>46140</v>
      </c>
      <c r="F290" s="203" t="s">
        <v>1508</v>
      </c>
      <c r="G290" s="204" t="s">
        <v>1509</v>
      </c>
      <c r="H290" s="204" t="s">
        <v>1510</v>
      </c>
      <c r="I290" s="205" t="s">
        <v>1511</v>
      </c>
      <c r="J290" s="190"/>
      <c r="K290" s="190"/>
    </row>
    <row r="291" ht="25.5" customHeight="1">
      <c r="A291" s="199" t="s">
        <v>1504</v>
      </c>
      <c r="B291" s="206" t="s">
        <v>1512</v>
      </c>
      <c r="C291" s="193" t="s">
        <v>1513</v>
      </c>
      <c r="D291" s="194" t="s">
        <v>1514</v>
      </c>
      <c r="E291" s="195">
        <v>46140</v>
      </c>
      <c r="F291" s="196" t="s">
        <v>1515</v>
      </c>
      <c r="G291" s="197" t="s">
        <v>1516</v>
      </c>
      <c r="H291" s="197" t="s">
        <v>1517</v>
      </c>
      <c r="I291" s="198" t="s">
        <v>1511</v>
      </c>
      <c r="J291" s="190"/>
      <c r="K291" s="190"/>
    </row>
    <row r="292" ht="25.5" customHeight="1">
      <c r="A292" s="199" t="s">
        <v>1504</v>
      </c>
      <c r="B292" s="207" t="s">
        <v>1518</v>
      </c>
      <c r="C292" s="201" t="s">
        <v>1519</v>
      </c>
      <c r="D292" s="194" t="s">
        <v>1520</v>
      </c>
      <c r="E292" s="202">
        <v>46140</v>
      </c>
      <c r="F292" s="203" t="s">
        <v>1521</v>
      </c>
      <c r="G292" s="204" t="s">
        <v>1522</v>
      </c>
      <c r="H292" s="204" t="s">
        <v>1523</v>
      </c>
      <c r="I292" s="205" t="s">
        <v>1511</v>
      </c>
      <c r="J292" s="190"/>
      <c r="K292" s="190"/>
    </row>
    <row r="293" ht="25.5" customHeight="1">
      <c r="A293" s="199" t="s">
        <v>1504</v>
      </c>
      <c r="B293" s="206" t="s">
        <v>1524</v>
      </c>
      <c r="C293" s="193" t="s">
        <v>1525</v>
      </c>
      <c r="D293" s="194" t="s">
        <v>1526</v>
      </c>
      <c r="E293" s="195">
        <v>46140</v>
      </c>
      <c r="F293" s="196" t="s">
        <v>1527</v>
      </c>
      <c r="G293" s="197" t="s">
        <v>1528</v>
      </c>
      <c r="H293" s="197" t="s">
        <v>1529</v>
      </c>
      <c r="I293" s="198" t="s">
        <v>1511</v>
      </c>
      <c r="J293" s="190"/>
      <c r="K293" s="190"/>
    </row>
    <row r="294" ht="25.5" customHeight="1">
      <c r="A294" s="199" t="s">
        <v>1504</v>
      </c>
      <c r="B294" s="207" t="s">
        <v>1530</v>
      </c>
      <c r="C294" s="201" t="s">
        <v>1531</v>
      </c>
      <c r="D294" s="194" t="s">
        <v>1532</v>
      </c>
      <c r="E294" s="202">
        <v>46140</v>
      </c>
      <c r="F294" s="203" t="s">
        <v>1533</v>
      </c>
      <c r="G294" s="204" t="s">
        <v>1534</v>
      </c>
      <c r="H294" s="204" t="s">
        <v>1535</v>
      </c>
      <c r="I294" s="205" t="s">
        <v>1511</v>
      </c>
      <c r="J294" s="190"/>
      <c r="K294" s="190"/>
    </row>
    <row r="295" ht="25.5" customHeight="1">
      <c r="A295" s="199" t="s">
        <v>1504</v>
      </c>
      <c r="B295" s="206" t="s">
        <v>1536</v>
      </c>
      <c r="C295" s="193" t="s">
        <v>1537</v>
      </c>
      <c r="D295" s="194" t="s">
        <v>1538</v>
      </c>
      <c r="E295" s="195">
        <v>46140</v>
      </c>
      <c r="F295" s="196" t="s">
        <v>1539</v>
      </c>
      <c r="G295" s="197" t="s">
        <v>1540</v>
      </c>
      <c r="H295" s="197" t="s">
        <v>1541</v>
      </c>
      <c r="I295" s="198" t="s">
        <v>1511</v>
      </c>
      <c r="J295" s="190"/>
      <c r="K295" s="190"/>
    </row>
    <row r="296" ht="25.5" customHeight="1">
      <c r="A296" s="199" t="s">
        <v>1504</v>
      </c>
      <c r="B296" s="207" t="s">
        <v>1542</v>
      </c>
      <c r="C296" s="201" t="s">
        <v>1543</v>
      </c>
      <c r="D296" s="194" t="s">
        <v>1544</v>
      </c>
      <c r="E296" s="202">
        <v>46140</v>
      </c>
      <c r="F296" s="203" t="s">
        <v>1545</v>
      </c>
      <c r="G296" s="204" t="s">
        <v>1546</v>
      </c>
      <c r="H296" s="204" t="s">
        <v>1547</v>
      </c>
      <c r="I296" s="205" t="s">
        <v>1548</v>
      </c>
      <c r="J296" s="190"/>
      <c r="K296" s="190"/>
    </row>
    <row r="297" ht="25.5" customHeight="1">
      <c r="A297" s="199" t="s">
        <v>1504</v>
      </c>
      <c r="B297" s="206" t="s">
        <v>1549</v>
      </c>
      <c r="C297" s="193" t="s">
        <v>1550</v>
      </c>
      <c r="D297" s="194" t="s">
        <v>1551</v>
      </c>
      <c r="E297" s="195">
        <v>46140</v>
      </c>
      <c r="F297" s="196" t="s">
        <v>1552</v>
      </c>
      <c r="G297" s="197" t="s">
        <v>1553</v>
      </c>
      <c r="H297" s="197" t="s">
        <v>1554</v>
      </c>
      <c r="I297" s="198" t="s">
        <v>1548</v>
      </c>
      <c r="J297" s="190"/>
      <c r="K297" s="190"/>
    </row>
    <row r="298" ht="25.5" customHeight="1">
      <c r="A298" s="199" t="s">
        <v>1504</v>
      </c>
      <c r="B298" s="207" t="s">
        <v>1555</v>
      </c>
      <c r="C298" s="201" t="s">
        <v>1556</v>
      </c>
      <c r="D298" s="194" t="s">
        <v>1557</v>
      </c>
      <c r="E298" s="202">
        <v>46140</v>
      </c>
      <c r="F298" s="203" t="s">
        <v>1558</v>
      </c>
      <c r="G298" s="204" t="s">
        <v>1559</v>
      </c>
      <c r="H298" s="204" t="s">
        <v>1560</v>
      </c>
      <c r="I298" s="205" t="s">
        <v>1548</v>
      </c>
      <c r="J298" s="190"/>
      <c r="K298" s="190"/>
    </row>
    <row r="299" ht="25.5" customHeight="1">
      <c r="A299" s="199" t="s">
        <v>1504</v>
      </c>
      <c r="B299" s="206" t="s">
        <v>1561</v>
      </c>
      <c r="C299" s="193" t="s">
        <v>1562</v>
      </c>
      <c r="D299" s="194" t="s">
        <v>1563</v>
      </c>
      <c r="E299" s="195">
        <v>46140</v>
      </c>
      <c r="F299" s="196" t="s">
        <v>1564</v>
      </c>
      <c r="G299" s="197" t="s">
        <v>1565</v>
      </c>
      <c r="H299" s="197" t="s">
        <v>1566</v>
      </c>
      <c r="I299" s="198" t="s">
        <v>1548</v>
      </c>
      <c r="J299" s="190"/>
      <c r="K299" s="190"/>
    </row>
    <row r="300" ht="25.5" customHeight="1">
      <c r="A300" s="199" t="s">
        <v>1504</v>
      </c>
      <c r="B300" s="207" t="s">
        <v>1567</v>
      </c>
      <c r="C300" s="201" t="s">
        <v>1568</v>
      </c>
      <c r="D300" s="194" t="s">
        <v>1569</v>
      </c>
      <c r="E300" s="202">
        <v>46140</v>
      </c>
      <c r="F300" s="203" t="s">
        <v>1570</v>
      </c>
      <c r="G300" s="204" t="s">
        <v>1571</v>
      </c>
      <c r="H300" s="204" t="s">
        <v>1572</v>
      </c>
      <c r="I300" s="205" t="s">
        <v>1548</v>
      </c>
      <c r="J300" s="190"/>
      <c r="K300" s="190"/>
    </row>
    <row r="301" ht="25.5" customHeight="1">
      <c r="A301" s="199" t="s">
        <v>1504</v>
      </c>
      <c r="B301" s="206" t="s">
        <v>1573</v>
      </c>
      <c r="C301" s="193" t="s">
        <v>1574</v>
      </c>
      <c r="D301" s="194" t="s">
        <v>1575</v>
      </c>
      <c r="E301" s="195">
        <v>46140</v>
      </c>
      <c r="F301" s="196" t="s">
        <v>1576</v>
      </c>
      <c r="G301" s="197" t="s">
        <v>1577</v>
      </c>
      <c r="H301" s="197" t="s">
        <v>1578</v>
      </c>
      <c r="I301" s="198" t="s">
        <v>1548</v>
      </c>
      <c r="J301" s="190"/>
      <c r="K301" s="190"/>
    </row>
    <row r="302" ht="25.5" customHeight="1">
      <c r="A302" s="199" t="s">
        <v>1504</v>
      </c>
      <c r="B302" s="207" t="s">
        <v>1579</v>
      </c>
      <c r="C302" s="201" t="s">
        <v>1580</v>
      </c>
      <c r="D302" s="194" t="s">
        <v>1581</v>
      </c>
      <c r="E302" s="202">
        <v>46140</v>
      </c>
      <c r="F302" s="203" t="s">
        <v>1582</v>
      </c>
      <c r="G302" s="204" t="s">
        <v>1583</v>
      </c>
      <c r="H302" s="204" t="s">
        <v>1584</v>
      </c>
      <c r="I302" s="205" t="s">
        <v>1548</v>
      </c>
      <c r="J302" s="190"/>
      <c r="K302" s="190"/>
    </row>
    <row r="303" ht="25.5" customHeight="1">
      <c r="A303" s="208" t="s">
        <v>1504</v>
      </c>
      <c r="B303" s="209" t="s">
        <v>1585</v>
      </c>
      <c r="C303" s="210" t="s">
        <v>1586</v>
      </c>
      <c r="D303" s="194" t="s">
        <v>1587</v>
      </c>
      <c r="E303" s="195">
        <v>46140</v>
      </c>
      <c r="F303" s="196" t="s">
        <v>1588</v>
      </c>
      <c r="G303" s="197" t="s">
        <v>1589</v>
      </c>
      <c r="H303" s="197" t="s">
        <v>1590</v>
      </c>
      <c r="I303" s="198" t="s">
        <v>1591</v>
      </c>
      <c r="J303" s="190"/>
      <c r="K303" s="190"/>
    </row>
    <row r="304" ht="25.5" customHeight="1">
      <c r="A304" s="211" t="s">
        <v>1592</v>
      </c>
      <c r="B304" s="203" t="s">
        <v>1593</v>
      </c>
      <c r="C304" s="212" t="s">
        <v>1594</v>
      </c>
      <c r="D304" s="194" t="s">
        <v>1595</v>
      </c>
      <c r="E304" s="202">
        <v>46140</v>
      </c>
      <c r="F304" s="203" t="s">
        <v>1596</v>
      </c>
      <c r="G304" s="204" t="s">
        <v>1597</v>
      </c>
      <c r="H304" s="204" t="s">
        <v>1598</v>
      </c>
      <c r="I304" s="205" t="s">
        <v>1599</v>
      </c>
      <c r="J304" s="190"/>
      <c r="K304" s="190"/>
    </row>
    <row r="305" ht="25.5" customHeight="1">
      <c r="A305" s="208" t="s">
        <v>1592</v>
      </c>
      <c r="B305" s="213" t="s">
        <v>1600</v>
      </c>
      <c r="C305" s="214" t="s">
        <v>1601</v>
      </c>
      <c r="D305" s="194" t="s">
        <v>1602</v>
      </c>
      <c r="E305" s="195">
        <v>46140</v>
      </c>
      <c r="F305" s="196" t="s">
        <v>1603</v>
      </c>
      <c r="G305" s="197" t="s">
        <v>1604</v>
      </c>
      <c r="H305" s="197" t="s">
        <v>1605</v>
      </c>
      <c r="I305" s="198" t="s">
        <v>1599</v>
      </c>
      <c r="J305" s="190"/>
      <c r="K305" s="190"/>
    </row>
    <row r="306" ht="25.5" customHeight="1">
      <c r="A306" s="211" t="s">
        <v>1592</v>
      </c>
      <c r="B306" s="215" t="s">
        <v>1606</v>
      </c>
      <c r="C306" s="216" t="s">
        <v>1607</v>
      </c>
      <c r="D306" s="194" t="s">
        <v>1608</v>
      </c>
      <c r="E306" s="202">
        <v>46140</v>
      </c>
      <c r="F306" s="203" t="s">
        <v>1609</v>
      </c>
      <c r="G306" s="204" t="s">
        <v>1610</v>
      </c>
      <c r="H306" s="204" t="s">
        <v>1611</v>
      </c>
      <c r="I306" s="205" t="s">
        <v>1599</v>
      </c>
      <c r="J306" s="190"/>
      <c r="K306" s="190"/>
    </row>
    <row r="307" ht="25.5" customHeight="1">
      <c r="A307" s="217" t="s">
        <v>900</v>
      </c>
      <c r="B307" s="218" t="s">
        <v>1612</v>
      </c>
      <c r="C307" s="219" t="s">
        <v>1613</v>
      </c>
      <c r="D307" s="194" t="s">
        <v>1614</v>
      </c>
      <c r="E307" s="195">
        <v>46141</v>
      </c>
      <c r="F307" s="196" t="s">
        <v>1615</v>
      </c>
      <c r="G307" s="197" t="s">
        <v>1616</v>
      </c>
      <c r="H307" s="197" t="s">
        <v>1617</v>
      </c>
      <c r="I307" s="198" t="s">
        <v>1618</v>
      </c>
      <c r="J307" s="190"/>
      <c r="K307" s="190"/>
    </row>
    <row r="308" ht="25.5" customHeight="1">
      <c r="A308" s="220" t="s">
        <v>1619</v>
      </c>
      <c r="B308" s="221" t="s">
        <v>1620</v>
      </c>
      <c r="C308" s="222" t="s">
        <v>1621</v>
      </c>
      <c r="D308" s="194" t="s">
        <v>1622</v>
      </c>
      <c r="E308" s="202">
        <v>46139</v>
      </c>
      <c r="F308" s="203" t="s">
        <v>1623</v>
      </c>
      <c r="G308" s="204" t="s">
        <v>1624</v>
      </c>
      <c r="H308" s="204" t="s">
        <v>1625</v>
      </c>
      <c r="I308" s="205" t="s">
        <v>1626</v>
      </c>
      <c r="J308" s="190"/>
      <c r="K308" s="190"/>
    </row>
    <row r="309" ht="25.5" customHeight="1">
      <c r="A309" s="220" t="s">
        <v>1619</v>
      </c>
      <c r="B309" s="223" t="s">
        <v>1627</v>
      </c>
      <c r="C309" s="219" t="s">
        <v>1628</v>
      </c>
      <c r="D309" s="194" t="s">
        <v>1629</v>
      </c>
      <c r="E309" s="195">
        <v>46139</v>
      </c>
      <c r="F309" s="196" t="s">
        <v>1630</v>
      </c>
      <c r="G309" s="197" t="s">
        <v>1631</v>
      </c>
      <c r="H309" s="197" t="s">
        <v>1632</v>
      </c>
      <c r="I309" s="198" t="s">
        <v>1626</v>
      </c>
      <c r="J309" s="190"/>
      <c r="K309" s="190"/>
    </row>
    <row r="310" ht="25.5" customHeight="1">
      <c r="A310" s="220" t="s">
        <v>1619</v>
      </c>
      <c r="B310" s="224" t="s">
        <v>1633</v>
      </c>
      <c r="C310" s="222" t="s">
        <v>1634</v>
      </c>
      <c r="D310" s="194" t="s">
        <v>1635</v>
      </c>
      <c r="E310" s="202">
        <v>46139</v>
      </c>
      <c r="F310" s="203" t="s">
        <v>1636</v>
      </c>
      <c r="G310" s="204" t="s">
        <v>1637</v>
      </c>
      <c r="H310" s="204" t="s">
        <v>1638</v>
      </c>
      <c r="I310" s="205" t="s">
        <v>1626</v>
      </c>
      <c r="J310" s="190"/>
      <c r="K310" s="190"/>
    </row>
    <row r="311" ht="25.5" customHeight="1">
      <c r="A311" s="220" t="s">
        <v>1619</v>
      </c>
      <c r="B311" s="225" t="s">
        <v>1639</v>
      </c>
      <c r="C311" s="226" t="s">
        <v>1640</v>
      </c>
      <c r="D311" s="194" t="s">
        <v>1641</v>
      </c>
      <c r="E311" s="195">
        <v>46139</v>
      </c>
      <c r="F311" s="196" t="s">
        <v>1642</v>
      </c>
      <c r="G311" s="197" t="s">
        <v>1643</v>
      </c>
      <c r="H311" s="197" t="s">
        <v>1644</v>
      </c>
      <c r="I311" s="198" t="s">
        <v>1626</v>
      </c>
      <c r="J311" s="190"/>
      <c r="K311" s="190"/>
    </row>
    <row r="312" ht="25.5" customHeight="1">
      <c r="A312" s="227" t="s">
        <v>1619</v>
      </c>
      <c r="B312" s="228" t="s">
        <v>1645</v>
      </c>
      <c r="C312" s="229" t="s">
        <v>1646</v>
      </c>
      <c r="D312" s="194" t="s">
        <v>1647</v>
      </c>
      <c r="E312" s="202">
        <v>46139</v>
      </c>
      <c r="F312" s="203" t="s">
        <v>1648</v>
      </c>
      <c r="G312" s="204" t="s">
        <v>1649</v>
      </c>
      <c r="H312" s="204" t="s">
        <v>1650</v>
      </c>
      <c r="I312" s="205" t="s">
        <v>1651</v>
      </c>
      <c r="J312" s="190"/>
      <c r="K312" s="190"/>
    </row>
    <row r="313" ht="25.5" customHeight="1">
      <c r="A313" s="217" t="s">
        <v>1652</v>
      </c>
      <c r="B313" s="196" t="s">
        <v>1653</v>
      </c>
      <c r="C313" s="230" t="s">
        <v>1654</v>
      </c>
      <c r="D313" s="194" t="s">
        <v>1655</v>
      </c>
      <c r="E313" s="195">
        <v>46139</v>
      </c>
      <c r="F313" s="196" t="s">
        <v>1656</v>
      </c>
      <c r="G313" s="197" t="s">
        <v>1657</v>
      </c>
      <c r="H313" s="197" t="s">
        <v>1658</v>
      </c>
      <c r="I313" s="198" t="s">
        <v>1659</v>
      </c>
      <c r="J313" s="190"/>
      <c r="K313" s="190"/>
    </row>
    <row r="314" ht="25.5" customHeight="1">
      <c r="A314" s="231" t="s">
        <v>1652</v>
      </c>
      <c r="B314" s="232" t="s">
        <v>1660</v>
      </c>
      <c r="C314" s="233" t="s">
        <v>1661</v>
      </c>
      <c r="D314" s="194" t="s">
        <v>1662</v>
      </c>
      <c r="E314" s="234">
        <v>46139</v>
      </c>
      <c r="F314" s="235" t="s">
        <v>1663</v>
      </c>
      <c r="G314" s="236" t="s">
        <v>1664</v>
      </c>
      <c r="H314" s="236" t="s">
        <v>1665</v>
      </c>
      <c r="I314" s="237" t="s">
        <v>1659</v>
      </c>
      <c r="J314" s="190"/>
      <c r="K314" s="190"/>
    </row>
    <row r="315" ht="25.5" customHeight="1">
      <c r="A315" s="211" t="s">
        <v>1619</v>
      </c>
      <c r="B315" s="238" t="s">
        <v>1666</v>
      </c>
      <c r="C315" s="239" t="s">
        <v>1667</v>
      </c>
      <c r="D315" s="194" t="s">
        <v>1668</v>
      </c>
      <c r="E315" s="202">
        <v>46142</v>
      </c>
      <c r="F315" s="203" t="s">
        <v>1669</v>
      </c>
      <c r="G315" s="204" t="s">
        <v>1670</v>
      </c>
      <c r="H315" s="204" t="s">
        <v>1671</v>
      </c>
      <c r="I315" s="205" t="s">
        <v>1672</v>
      </c>
      <c r="J315" s="190"/>
      <c r="K315" s="190"/>
    </row>
    <row r="316" ht="25.5" customHeight="1">
      <c r="A316" s="208" t="s">
        <v>1619</v>
      </c>
      <c r="B316" s="240" t="s">
        <v>1666</v>
      </c>
      <c r="C316" s="214" t="s">
        <v>1673</v>
      </c>
      <c r="D316" s="194" t="s">
        <v>1674</v>
      </c>
      <c r="E316" s="195">
        <v>46142</v>
      </c>
      <c r="F316" s="196" t="s">
        <v>1675</v>
      </c>
      <c r="G316" s="197" t="s">
        <v>1676</v>
      </c>
      <c r="H316" s="197" t="s">
        <v>1677</v>
      </c>
      <c r="I316" s="198" t="s">
        <v>1672</v>
      </c>
      <c r="J316" s="190"/>
      <c r="K316" s="190"/>
    </row>
    <row r="317" ht="25.5" customHeight="1">
      <c r="A317" s="211" t="s">
        <v>1619</v>
      </c>
      <c r="B317" s="215" t="s">
        <v>1678</v>
      </c>
      <c r="C317" s="239" t="s">
        <v>1679</v>
      </c>
      <c r="D317" s="194" t="s">
        <v>1680</v>
      </c>
      <c r="E317" s="202">
        <v>46142</v>
      </c>
      <c r="F317" s="203" t="s">
        <v>1681</v>
      </c>
      <c r="G317" s="204" t="s">
        <v>1682</v>
      </c>
      <c r="H317" s="204" t="s">
        <v>1683</v>
      </c>
      <c r="I317" s="205" t="s">
        <v>1672</v>
      </c>
      <c r="J317" s="190"/>
      <c r="K317" s="190"/>
    </row>
    <row r="318" ht="25.5" customHeight="1">
      <c r="A318" s="211" t="s">
        <v>1619</v>
      </c>
      <c r="B318" s="240" t="s">
        <v>1678</v>
      </c>
      <c r="C318" s="214" t="s">
        <v>1684</v>
      </c>
      <c r="D318" s="194" t="s">
        <v>1685</v>
      </c>
      <c r="E318" s="195">
        <v>46142</v>
      </c>
      <c r="F318" s="196" t="s">
        <v>1686</v>
      </c>
      <c r="G318" s="197" t="s">
        <v>1687</v>
      </c>
      <c r="H318" s="197" t="s">
        <v>1688</v>
      </c>
      <c r="I318" s="198" t="s">
        <v>1672</v>
      </c>
      <c r="J318" s="190"/>
      <c r="K318" s="190"/>
    </row>
    <row r="319" ht="25.5" customHeight="1">
      <c r="A319" s="211" t="s">
        <v>1619</v>
      </c>
      <c r="B319" s="215" t="s">
        <v>1689</v>
      </c>
      <c r="C319" s="239" t="s">
        <v>1690</v>
      </c>
      <c r="D319" s="194" t="s">
        <v>1691</v>
      </c>
      <c r="E319" s="202">
        <v>46142</v>
      </c>
      <c r="F319" s="203" t="s">
        <v>1692</v>
      </c>
      <c r="G319" s="204" t="s">
        <v>1693</v>
      </c>
      <c r="H319" s="204" t="s">
        <v>1694</v>
      </c>
      <c r="I319" s="205" t="s">
        <v>1695</v>
      </c>
      <c r="J319" s="190"/>
      <c r="K319" s="190"/>
    </row>
    <row r="320" ht="25.5" customHeight="1">
      <c r="A320" s="211" t="s">
        <v>1619</v>
      </c>
      <c r="B320" s="240" t="s">
        <v>1689</v>
      </c>
      <c r="C320" s="214" t="s">
        <v>1696</v>
      </c>
      <c r="D320" s="194" t="s">
        <v>1697</v>
      </c>
      <c r="E320" s="195">
        <v>46142</v>
      </c>
      <c r="F320" s="196" t="s">
        <v>1698</v>
      </c>
      <c r="G320" s="197" t="s">
        <v>1699</v>
      </c>
      <c r="H320" s="197" t="s">
        <v>1700</v>
      </c>
      <c r="I320" s="198" t="s">
        <v>1695</v>
      </c>
      <c r="J320" s="190"/>
      <c r="K320" s="190"/>
    </row>
    <row r="321" ht="25.5" customHeight="1">
      <c r="A321" s="211" t="s">
        <v>1619</v>
      </c>
      <c r="B321" s="215" t="s">
        <v>1689</v>
      </c>
      <c r="C321" s="239" t="s">
        <v>1701</v>
      </c>
      <c r="D321" s="194" t="s">
        <v>1702</v>
      </c>
      <c r="E321" s="202">
        <v>46142</v>
      </c>
      <c r="F321" s="203" t="s">
        <v>1703</v>
      </c>
      <c r="G321" s="204" t="s">
        <v>1704</v>
      </c>
      <c r="H321" s="204" t="s">
        <v>1705</v>
      </c>
      <c r="I321" s="205" t="s">
        <v>1695</v>
      </c>
      <c r="J321" s="190"/>
      <c r="K321" s="190"/>
    </row>
    <row r="322" ht="25.5" customHeight="1">
      <c r="A322" s="211" t="s">
        <v>1619</v>
      </c>
      <c r="B322" s="240" t="s">
        <v>1706</v>
      </c>
      <c r="C322" s="214" t="s">
        <v>1707</v>
      </c>
      <c r="D322" s="194" t="s">
        <v>1708</v>
      </c>
      <c r="E322" s="195">
        <v>46142</v>
      </c>
      <c r="F322" s="196" t="s">
        <v>1709</v>
      </c>
      <c r="G322" s="197" t="s">
        <v>1710</v>
      </c>
      <c r="H322" s="197" t="s">
        <v>1711</v>
      </c>
      <c r="I322" s="198" t="s">
        <v>1695</v>
      </c>
      <c r="J322" s="190"/>
      <c r="K322" s="190"/>
    </row>
    <row r="323" ht="25.5" customHeight="1">
      <c r="A323" s="211" t="s">
        <v>1619</v>
      </c>
      <c r="B323" s="215" t="s">
        <v>1706</v>
      </c>
      <c r="C323" s="239" t="s">
        <v>1712</v>
      </c>
      <c r="D323" s="194" t="s">
        <v>1713</v>
      </c>
      <c r="E323" s="202">
        <v>46142</v>
      </c>
      <c r="F323" s="203" t="s">
        <v>1714</v>
      </c>
      <c r="G323" s="204" t="s">
        <v>1715</v>
      </c>
      <c r="H323" s="204" t="s">
        <v>1716</v>
      </c>
      <c r="I323" s="205" t="s">
        <v>1695</v>
      </c>
      <c r="J323" s="190"/>
      <c r="K323" s="190"/>
    </row>
    <row r="324" ht="25.5" customHeight="1">
      <c r="A324" s="211" t="s">
        <v>1619</v>
      </c>
      <c r="B324" s="241" t="s">
        <v>1717</v>
      </c>
      <c r="C324" s="242" t="s">
        <v>1718</v>
      </c>
      <c r="D324" s="194" t="s">
        <v>1719</v>
      </c>
      <c r="E324" s="243">
        <v>46142</v>
      </c>
      <c r="F324" s="244" t="s">
        <v>1720</v>
      </c>
      <c r="G324" s="245" t="s">
        <v>1721</v>
      </c>
      <c r="H324" s="245" t="s">
        <v>1722</v>
      </c>
      <c r="I324" s="246" t="s">
        <v>1723</v>
      </c>
      <c r="J324" s="190"/>
      <c r="K324" s="190"/>
    </row>
    <row r="325" ht="25.5" customHeight="1">
      <c r="A325" s="247" t="s">
        <v>1619</v>
      </c>
      <c r="B325" s="248" t="s">
        <v>1724</v>
      </c>
      <c r="C325" s="249" t="s">
        <v>1725</v>
      </c>
      <c r="D325" s="185" t="s">
        <v>1726</v>
      </c>
      <c r="E325" s="250">
        <v>46144</v>
      </c>
      <c r="F325" s="187" t="s">
        <v>1727</v>
      </c>
      <c r="G325" s="188" t="s">
        <v>1728</v>
      </c>
      <c r="H325" s="188" t="s">
        <v>1729</v>
      </c>
      <c r="I325" s="189" t="s">
        <v>1730</v>
      </c>
      <c r="J325" s="190"/>
      <c r="K325" s="190"/>
    </row>
    <row r="326" ht="25.5" customHeight="1">
      <c r="A326" s="247" t="s">
        <v>1619</v>
      </c>
      <c r="B326" s="251" t="s">
        <v>1724</v>
      </c>
      <c r="C326" s="252" t="s">
        <v>1731</v>
      </c>
      <c r="D326" s="194" t="s">
        <v>1732</v>
      </c>
      <c r="E326" s="253">
        <v>46144</v>
      </c>
      <c r="F326" s="196" t="s">
        <v>1733</v>
      </c>
      <c r="G326" s="197" t="s">
        <v>1734</v>
      </c>
      <c r="H326" s="197" t="s">
        <v>1735</v>
      </c>
      <c r="I326" s="198" t="s">
        <v>1730</v>
      </c>
      <c r="J326" s="190"/>
      <c r="K326" s="190"/>
    </row>
    <row r="327" ht="25.5" customHeight="1">
      <c r="A327" s="211" t="s">
        <v>1619</v>
      </c>
      <c r="B327" s="254" t="s">
        <v>1736</v>
      </c>
      <c r="C327" s="255" t="s">
        <v>1737</v>
      </c>
      <c r="D327" s="194" t="s">
        <v>1738</v>
      </c>
      <c r="E327" s="256">
        <v>46144</v>
      </c>
      <c r="F327" s="203" t="s">
        <v>1739</v>
      </c>
      <c r="G327" s="204" t="s">
        <v>1740</v>
      </c>
      <c r="H327" s="204" t="s">
        <v>1741</v>
      </c>
      <c r="I327" s="205" t="s">
        <v>1730</v>
      </c>
      <c r="J327" s="190"/>
      <c r="K327" s="190"/>
    </row>
    <row r="328" ht="25.5" customHeight="1">
      <c r="A328" s="247" t="s">
        <v>1619</v>
      </c>
      <c r="B328" s="251" t="s">
        <v>1736</v>
      </c>
      <c r="C328" s="252" t="s">
        <v>1742</v>
      </c>
      <c r="D328" s="194" t="s">
        <v>1743</v>
      </c>
      <c r="E328" s="253">
        <v>46144</v>
      </c>
      <c r="F328" s="196" t="s">
        <v>1744</v>
      </c>
      <c r="G328" s="197" t="s">
        <v>1745</v>
      </c>
      <c r="H328" s="197" t="s">
        <v>1746</v>
      </c>
      <c r="I328" s="198" t="s">
        <v>1730</v>
      </c>
      <c r="J328" s="190"/>
      <c r="K328" s="190"/>
    </row>
    <row r="329" ht="25.5" customHeight="1">
      <c r="A329" s="211" t="s">
        <v>1619</v>
      </c>
      <c r="B329" s="254" t="s">
        <v>1747</v>
      </c>
      <c r="C329" s="255" t="s">
        <v>1748</v>
      </c>
      <c r="D329" s="194" t="s">
        <v>1749</v>
      </c>
      <c r="E329" s="256">
        <v>46144</v>
      </c>
      <c r="F329" s="203" t="s">
        <v>1750</v>
      </c>
      <c r="G329" s="204" t="s">
        <v>1751</v>
      </c>
      <c r="H329" s="204" t="s">
        <v>1752</v>
      </c>
      <c r="I329" s="205" t="s">
        <v>1730</v>
      </c>
      <c r="J329" s="190"/>
      <c r="K329" s="190"/>
    </row>
    <row r="330" ht="25.5" customHeight="1">
      <c r="A330" s="247" t="s">
        <v>1619</v>
      </c>
      <c r="B330" s="251" t="s">
        <v>1747</v>
      </c>
      <c r="C330" s="252" t="s">
        <v>1753</v>
      </c>
      <c r="D330" s="194" t="s">
        <v>1754</v>
      </c>
      <c r="E330" s="253">
        <v>46144</v>
      </c>
      <c r="F330" s="196" t="s">
        <v>1755</v>
      </c>
      <c r="G330" s="197" t="s">
        <v>1756</v>
      </c>
      <c r="H330" s="197" t="s">
        <v>1757</v>
      </c>
      <c r="I330" s="198" t="s">
        <v>1730</v>
      </c>
      <c r="J330" s="190"/>
      <c r="K330" s="190"/>
    </row>
    <row r="331" ht="25.5" customHeight="1">
      <c r="A331" s="211" t="s">
        <v>1619</v>
      </c>
      <c r="B331" s="254" t="s">
        <v>1758</v>
      </c>
      <c r="C331" s="255" t="s">
        <v>1759</v>
      </c>
      <c r="D331" s="194" t="s">
        <v>1760</v>
      </c>
      <c r="E331" s="256">
        <v>46144</v>
      </c>
      <c r="F331" s="203" t="s">
        <v>1761</v>
      </c>
      <c r="G331" s="204" t="s">
        <v>1762</v>
      </c>
      <c r="H331" s="204" t="s">
        <v>1763</v>
      </c>
      <c r="I331" s="205" t="s">
        <v>1730</v>
      </c>
      <c r="J331" s="190"/>
      <c r="K331" s="190"/>
    </row>
    <row r="332" ht="25.5" customHeight="1">
      <c r="A332" s="257" t="s">
        <v>421</v>
      </c>
      <c r="B332" s="258" t="s">
        <v>1764</v>
      </c>
      <c r="C332" s="252" t="s">
        <v>1765</v>
      </c>
      <c r="D332" s="194" t="s">
        <v>1766</v>
      </c>
      <c r="E332" s="253">
        <v>46147</v>
      </c>
      <c r="F332" s="196" t="s">
        <v>1767</v>
      </c>
      <c r="G332" s="197" t="s">
        <v>1768</v>
      </c>
      <c r="H332" s="197" t="s">
        <v>1769</v>
      </c>
      <c r="I332" s="198" t="s">
        <v>1770</v>
      </c>
      <c r="J332" s="190"/>
      <c r="K332" s="190"/>
    </row>
    <row r="333" ht="25.5" customHeight="1">
      <c r="A333" s="259" t="s">
        <v>153</v>
      </c>
      <c r="B333" s="254" t="s">
        <v>1771</v>
      </c>
      <c r="C333" s="255" t="s">
        <v>1772</v>
      </c>
      <c r="D333" s="194" t="s">
        <v>1773</v>
      </c>
      <c r="E333" s="256">
        <v>46148</v>
      </c>
      <c r="F333" s="203" t="s">
        <v>1774</v>
      </c>
      <c r="G333" s="204" t="s">
        <v>1775</v>
      </c>
      <c r="H333" s="204" t="s">
        <v>1776</v>
      </c>
      <c r="I333" s="205" t="s">
        <v>1777</v>
      </c>
      <c r="J333" s="190"/>
      <c r="K333" s="190"/>
    </row>
    <row r="334" ht="25.5" customHeight="1">
      <c r="A334" s="260" t="s">
        <v>153</v>
      </c>
      <c r="B334" s="251" t="s">
        <v>1778</v>
      </c>
      <c r="C334" s="252" t="s">
        <v>1779</v>
      </c>
      <c r="D334" s="194" t="s">
        <v>1780</v>
      </c>
      <c r="E334" s="253">
        <v>46148</v>
      </c>
      <c r="F334" s="196" t="s">
        <v>1781</v>
      </c>
      <c r="G334" s="197" t="s">
        <v>1782</v>
      </c>
      <c r="H334" s="197" t="s">
        <v>1783</v>
      </c>
      <c r="I334" s="198" t="s">
        <v>1777</v>
      </c>
      <c r="J334" s="190"/>
      <c r="K334" s="190"/>
    </row>
    <row r="335" ht="25.5" customHeight="1">
      <c r="A335" s="261" t="s">
        <v>421</v>
      </c>
      <c r="B335" s="254" t="s">
        <v>1784</v>
      </c>
      <c r="C335" s="255" t="s">
        <v>1785</v>
      </c>
      <c r="D335" s="194" t="s">
        <v>1786</v>
      </c>
      <c r="E335" s="256">
        <v>46148</v>
      </c>
      <c r="F335" s="203" t="s">
        <v>1787</v>
      </c>
      <c r="G335" s="204" t="s">
        <v>1788</v>
      </c>
      <c r="H335" s="204" t="s">
        <v>1789</v>
      </c>
      <c r="I335" s="205" t="s">
        <v>1790</v>
      </c>
      <c r="J335" s="190"/>
      <c r="K335" s="190"/>
    </row>
    <row r="336" ht="25.5" customHeight="1">
      <c r="A336" s="260" t="s">
        <v>421</v>
      </c>
      <c r="B336" s="262" t="s">
        <v>1791</v>
      </c>
      <c r="C336" s="263" t="s">
        <v>1792</v>
      </c>
      <c r="D336" s="194" t="s">
        <v>1793</v>
      </c>
      <c r="E336" s="264">
        <v>46148</v>
      </c>
      <c r="F336" s="244" t="s">
        <v>1794</v>
      </c>
      <c r="G336" s="245" t="s">
        <v>1795</v>
      </c>
      <c r="H336" s="245" t="s">
        <v>1796</v>
      </c>
      <c r="I336" s="246" t="s">
        <v>1797</v>
      </c>
      <c r="J336" s="190"/>
      <c r="K336" s="190"/>
    </row>
    <row r="337" ht="25.5" customHeight="1">
      <c r="A337" s="265" t="s">
        <v>843</v>
      </c>
      <c r="B337" s="266" t="s">
        <v>1798</v>
      </c>
      <c r="C337" s="267" t="s">
        <v>1799</v>
      </c>
      <c r="D337" s="185" t="s">
        <v>1800</v>
      </c>
      <c r="E337" s="268">
        <v>46148</v>
      </c>
      <c r="F337" s="269" t="s">
        <v>1801</v>
      </c>
      <c r="G337" s="270" t="s">
        <v>1802</v>
      </c>
      <c r="H337" s="270" t="s">
        <v>1803</v>
      </c>
      <c r="I337" s="271" t="s">
        <v>1804</v>
      </c>
      <c r="J337" s="190"/>
      <c r="K337" s="190"/>
    </row>
    <row r="338" ht="25.5" customHeight="1">
      <c r="A338" s="272" t="s">
        <v>1619</v>
      </c>
      <c r="B338" s="273" t="s">
        <v>1805</v>
      </c>
      <c r="C338" s="274" t="s">
        <v>1806</v>
      </c>
      <c r="D338" s="185" t="s">
        <v>1807</v>
      </c>
      <c r="E338" s="275">
        <v>46149</v>
      </c>
      <c r="F338" s="276" t="s">
        <v>1808</v>
      </c>
      <c r="G338" s="277" t="s">
        <v>1809</v>
      </c>
      <c r="H338" s="277" t="s">
        <v>1810</v>
      </c>
      <c r="I338" s="278" t="s">
        <v>1811</v>
      </c>
      <c r="J338" s="190"/>
      <c r="K338" s="190"/>
    </row>
    <row r="339" ht="25.5" customHeight="1">
      <c r="A339" s="272" t="s">
        <v>1619</v>
      </c>
      <c r="B339" s="279" t="s">
        <v>1805</v>
      </c>
      <c r="C339" s="280" t="s">
        <v>1812</v>
      </c>
      <c r="D339" s="194" t="s">
        <v>1813</v>
      </c>
      <c r="E339" s="281">
        <v>46149</v>
      </c>
      <c r="F339" s="203" t="s">
        <v>1814</v>
      </c>
      <c r="G339" s="204" t="s">
        <v>1815</v>
      </c>
      <c r="H339" s="204" t="s">
        <v>1816</v>
      </c>
      <c r="I339" s="205" t="s">
        <v>1811</v>
      </c>
      <c r="J339" s="190"/>
      <c r="K339" s="190"/>
    </row>
    <row r="340" ht="25.5" customHeight="1">
      <c r="A340" s="282" t="s">
        <v>1619</v>
      </c>
      <c r="B340" s="283" t="s">
        <v>1817</v>
      </c>
      <c r="C340" s="284" t="s">
        <v>1718</v>
      </c>
      <c r="D340" s="194" t="s">
        <v>1818</v>
      </c>
      <c r="E340" s="285">
        <v>46149</v>
      </c>
      <c r="F340" s="196" t="s">
        <v>1819</v>
      </c>
      <c r="G340" s="197" t="s">
        <v>1820</v>
      </c>
      <c r="H340" s="197" t="s">
        <v>1821</v>
      </c>
      <c r="I340" s="198" t="s">
        <v>1811</v>
      </c>
      <c r="J340" s="190"/>
      <c r="K340" s="190"/>
    </row>
    <row r="341" ht="25.5" customHeight="1">
      <c r="A341" s="272" t="s">
        <v>1619</v>
      </c>
      <c r="B341" s="286" t="s">
        <v>1817</v>
      </c>
      <c r="C341" s="287" t="s">
        <v>1822</v>
      </c>
      <c r="D341" s="194" t="s">
        <v>1823</v>
      </c>
      <c r="E341" s="288">
        <v>46149</v>
      </c>
      <c r="F341" s="289" t="s">
        <v>1824</v>
      </c>
      <c r="G341" s="290" t="s">
        <v>1825</v>
      </c>
      <c r="H341" s="290" t="s">
        <v>1826</v>
      </c>
      <c r="I341" s="291" t="s">
        <v>1811</v>
      </c>
      <c r="J341" s="190"/>
      <c r="K341" s="190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8" tooltip=""/>
    <hyperlink r:id="rId286" ref="H288" tooltip=""/>
    <hyperlink r:id="rId287" ref="G289" tooltip=""/>
    <hyperlink r:id="rId287" ref="H289" tooltip=""/>
    <hyperlink r:id="rId288" ref="G290" tooltip=""/>
    <hyperlink r:id="rId288" ref="H290" tooltip=""/>
    <hyperlink r:id="rId289" ref="G291" tooltip=""/>
    <hyperlink r:id="rId289" ref="H291" tooltip=""/>
    <hyperlink r:id="rId290" ref="G292" tooltip=""/>
    <hyperlink r:id="rId290" ref="H292" tooltip=""/>
    <hyperlink r:id="rId291" ref="G293" tooltip=""/>
    <hyperlink r:id="rId291" ref="H293" tooltip=""/>
    <hyperlink r:id="rId292" ref="G294" tooltip=""/>
    <hyperlink r:id="rId292" ref="H294" tooltip=""/>
    <hyperlink r:id="rId293" ref="G295" tooltip=""/>
    <hyperlink r:id="rId293" ref="H295" tooltip=""/>
    <hyperlink r:id="rId294" ref="G296" tooltip=""/>
    <hyperlink r:id="rId294" ref="H296" tooltip=""/>
    <hyperlink r:id="rId295" ref="G297" tooltip=""/>
    <hyperlink r:id="rId295" ref="H297" tooltip=""/>
    <hyperlink r:id="rId296" ref="G298" tooltip=""/>
    <hyperlink r:id="rId296" ref="H298" tooltip=""/>
    <hyperlink r:id="rId297" ref="G299" tooltip=""/>
    <hyperlink r:id="rId297" ref="H299" tooltip=""/>
    <hyperlink r:id="rId298" ref="G300" tooltip=""/>
    <hyperlink r:id="rId298" ref="H300" tooltip=""/>
    <hyperlink r:id="rId299" ref="G301" tooltip=""/>
    <hyperlink r:id="rId299" ref="H301" tooltip=""/>
    <hyperlink r:id="rId300" ref="G302" tooltip=""/>
    <hyperlink r:id="rId300" ref="H302" tooltip=""/>
    <hyperlink r:id="rId301" ref="G303" tooltip=""/>
    <hyperlink r:id="rId301" ref="H303" tooltip=""/>
    <hyperlink r:id="rId302" ref="G304" tooltip=""/>
    <hyperlink r:id="rId302" ref="H304" tooltip=""/>
    <hyperlink r:id="rId303" ref="G305" tooltip=""/>
    <hyperlink r:id="rId303" ref="H305" tooltip=""/>
    <hyperlink r:id="rId304" ref="G306" tooltip=""/>
    <hyperlink r:id="rId304" ref="H306" tooltip=""/>
    <hyperlink r:id="rId305" ref="G307" tooltip=""/>
    <hyperlink r:id="rId305" ref="H307" tooltip=""/>
    <hyperlink r:id="rId306" ref="G308" tooltip=""/>
    <hyperlink r:id="rId306" ref="H308" tooltip=""/>
    <hyperlink r:id="rId307" ref="G309" tooltip=""/>
    <hyperlink r:id="rId307" ref="H309" tooltip=""/>
    <hyperlink r:id="rId308" ref="G310" tooltip=""/>
    <hyperlink r:id="rId308" ref="H310" tooltip=""/>
    <hyperlink r:id="rId309" ref="G311" tooltip=""/>
    <hyperlink r:id="rId309" ref="H311" tooltip=""/>
    <hyperlink r:id="rId310" ref="G312" tooltip=""/>
    <hyperlink r:id="rId310" ref="H312" tooltip=""/>
    <hyperlink r:id="rId311" ref="G313" tooltip=""/>
    <hyperlink r:id="rId311" ref="H313" tooltip=""/>
    <hyperlink r:id="rId312" ref="G314" tooltip=""/>
    <hyperlink r:id="rId312" ref="H314" tooltip=""/>
    <hyperlink r:id="rId313" ref="G315" tooltip=""/>
    <hyperlink r:id="rId313" ref="H315" tooltip=""/>
    <hyperlink r:id="rId314" ref="G316" tooltip=""/>
    <hyperlink r:id="rId314" ref="H316" tooltip=""/>
    <hyperlink r:id="rId315" ref="G317" tooltip=""/>
    <hyperlink r:id="rId315" ref="H317" tooltip=""/>
    <hyperlink r:id="rId316" ref="G318" tooltip=""/>
    <hyperlink r:id="rId316" ref="H318" tooltip=""/>
    <hyperlink r:id="rId317" ref="G319" tooltip=""/>
    <hyperlink r:id="rId317" ref="H319" tooltip=""/>
    <hyperlink r:id="rId318" ref="G320" tooltip=""/>
    <hyperlink r:id="rId318" ref="H320" tooltip=""/>
    <hyperlink r:id="rId319" ref="G321" tooltip=""/>
    <hyperlink r:id="rId319" ref="H321" tooltip=""/>
    <hyperlink r:id="rId320" ref="G322" tooltip=""/>
    <hyperlink r:id="rId320" ref="H322" tooltip=""/>
    <hyperlink r:id="rId321" ref="G323" tooltip=""/>
    <hyperlink r:id="rId321" ref="H323" tooltip=""/>
    <hyperlink r:id="rId322" ref="G324" tooltip=""/>
    <hyperlink r:id="rId322" ref="H324" tooltip=""/>
    <hyperlink r:id="rId323" ref="G325" tooltip=""/>
    <hyperlink r:id="rId323" ref="H325" tooltip=""/>
    <hyperlink r:id="rId324" ref="G326" tooltip=""/>
    <hyperlink r:id="rId324" ref="H326" tooltip=""/>
    <hyperlink r:id="rId325" ref="G327" tooltip=""/>
    <hyperlink r:id="rId325" ref="H327" tooltip=""/>
    <hyperlink r:id="rId326" ref="G328" tooltip=""/>
    <hyperlink r:id="rId326" ref="H328" tooltip=""/>
    <hyperlink r:id="rId327" ref="G329" tooltip=""/>
    <hyperlink r:id="rId327" ref="H329" tooltip=""/>
    <hyperlink r:id="rId328" ref="G330" tooltip=""/>
    <hyperlink r:id="rId328" ref="H330" tooltip=""/>
    <hyperlink r:id="rId329" ref="G331" tooltip=""/>
    <hyperlink r:id="rId329" ref="H331" tooltip=""/>
    <hyperlink r:id="rId330" ref="G332" tooltip=""/>
    <hyperlink r:id="rId330" ref="H332" tooltip=""/>
    <hyperlink r:id="rId331" ref="G333" tooltip=""/>
    <hyperlink r:id="rId331" ref="H333" tooltip=""/>
    <hyperlink r:id="rId332" ref="G334" tooltip=""/>
    <hyperlink r:id="rId332" ref="H334" tooltip=""/>
    <hyperlink r:id="rId333" ref="G335" tooltip=""/>
    <hyperlink r:id="rId333" ref="H335" tooltip=""/>
    <hyperlink r:id="rId334" ref="G336" tooltip=""/>
    <hyperlink r:id="rId334" ref="H336" tooltip=""/>
    <hyperlink r:id="rId335" ref="G337" tooltip=""/>
    <hyperlink r:id="rId335" ref="H337" tooltip=""/>
    <hyperlink r:id="rId336" ref="G338" tooltip=""/>
    <hyperlink r:id="rId336" ref="H338" tooltip=""/>
    <hyperlink r:id="rId337" ref="G339" tooltip=""/>
    <hyperlink r:id="rId337" ref="H339" tooltip=""/>
    <hyperlink r:id="rId338" ref="G340" tooltip=""/>
    <hyperlink r:id="rId338" ref="H340" tooltip=""/>
    <hyperlink r:id="rId339" ref="G341" tooltip=""/>
    <hyperlink r:id="rId339" ref="H341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3" zoomScale="100" workbookViewId="0">
      <selection activeCell="A1" activeCellId="0" sqref="A1"/>
    </sheetView>
  </sheetViews>
  <sheetFormatPr defaultRowHeight="25.5" customHeight="1"/>
  <cols>
    <col customWidth="1" min="1" max="1" width="29.8515625"/>
    <col bestFit="1" min="2" max="2" width="29.78125"/>
    <col bestFit="1" min="3" max="3" width="21.7109375"/>
    <col bestFit="1" min="6" max="6" width="17.421875"/>
    <col customWidth="1" min="7" max="7" width="21.7109375"/>
    <col customWidth="1" min="8" max="8" width="6.8515625"/>
    <col customWidth="1" min="9" max="9" width="17.00390625"/>
    <col customWidth="1" min="10" max="10" width="18.421875"/>
  </cols>
  <sheetData>
    <row r="1" ht="25.5" customHeight="1">
      <c r="A1" s="1" t="s">
        <v>0</v>
      </c>
      <c r="B1" s="2" t="s">
        <v>1827</v>
      </c>
      <c r="C1" s="2" t="s">
        <v>1828</v>
      </c>
      <c r="D1" s="2" t="s">
        <v>2</v>
      </c>
      <c r="E1" s="2" t="s">
        <v>3</v>
      </c>
      <c r="F1" s="2" t="s">
        <v>4</v>
      </c>
      <c r="G1" s="3" t="s">
        <v>1829</v>
      </c>
      <c r="H1" s="3" t="s">
        <v>1830</v>
      </c>
      <c r="I1" s="3" t="s">
        <v>1831</v>
      </c>
      <c r="J1" s="4" t="s">
        <v>1832</v>
      </c>
    </row>
    <row r="2" ht="25.5" customHeight="1">
      <c r="A2" s="292" t="s">
        <v>843</v>
      </c>
      <c r="B2" s="293" t="s">
        <v>1833</v>
      </c>
      <c r="C2" s="294" t="s">
        <v>1834</v>
      </c>
      <c r="D2" s="295" t="s">
        <v>1835</v>
      </c>
      <c r="E2" s="122" t="s">
        <v>1836</v>
      </c>
      <c r="F2" s="116">
        <v>46055</v>
      </c>
      <c r="G2" s="294" t="s">
        <v>1837</v>
      </c>
      <c r="H2" s="296" t="s">
        <v>1838</v>
      </c>
      <c r="I2" s="297" t="str">
        <f>HYPERLINK("https://drive.google.com/file/d/1vPn9EphH9Ez-CtG5AV743ZI571oddjoS/view?usp=drivesdk","Production Technology of Vegetables and Spices")</f>
        <v xml:space="preserve">Production Technology of Vegetables and Spices</v>
      </c>
      <c r="J2" s="298" t="s">
        <v>1839</v>
      </c>
      <c r="K2" s="299"/>
      <c r="L2" s="190"/>
    </row>
    <row r="3" ht="25.5" customHeight="1">
      <c r="A3" s="300" t="s">
        <v>1260</v>
      </c>
      <c r="B3" s="150" t="s">
        <v>1840</v>
      </c>
      <c r="C3" s="301" t="s">
        <v>1841</v>
      </c>
      <c r="D3" s="151" t="s">
        <v>1842</v>
      </c>
      <c r="E3" s="302" t="s">
        <v>1843</v>
      </c>
      <c r="F3" s="303">
        <v>46079</v>
      </c>
      <c r="G3" s="301" t="s">
        <v>1844</v>
      </c>
      <c r="H3" s="304" t="s">
        <v>1845</v>
      </c>
      <c r="I3" s="305" t="str">
        <f>HYPERLINK("https://drive.google.com/file/d/1RK4IQtEFiw81JG91LxPSTWPMud5keKs4/view?usp=drivesdk","School and Educational Psychology")</f>
        <v xml:space="preserve">School and Educational Psychology</v>
      </c>
      <c r="J3" s="306" t="s">
        <v>1846</v>
      </c>
      <c r="K3" s="299"/>
      <c r="L3" s="190"/>
    </row>
    <row r="4" ht="25.5" customHeight="1">
      <c r="A4" s="14" t="s">
        <v>1847</v>
      </c>
      <c r="B4" s="307" t="s">
        <v>1848</v>
      </c>
      <c r="C4" s="307" t="s">
        <v>1849</v>
      </c>
      <c r="D4" s="307" t="s">
        <v>1850</v>
      </c>
      <c r="E4" s="308" t="s">
        <v>1851</v>
      </c>
      <c r="F4" s="309">
        <v>45986</v>
      </c>
      <c r="G4" s="307" t="s">
        <v>1852</v>
      </c>
      <c r="H4" s="310" t="s">
        <v>1853</v>
      </c>
      <c r="I4" s="311" t="str">
        <f>HYPERLINK("https://drive.google.com/file/d/1vZeqDw02dpKrjC_ukelcdjyR-CfxCcLs/view?usp=drivesdk","AI &amp; ML na")</f>
        <v xml:space="preserve">AI &amp; ML na</v>
      </c>
      <c r="J4" s="312" t="s">
        <v>1854</v>
      </c>
      <c r="K4" s="299"/>
      <c r="L4" s="190"/>
    </row>
    <row r="5" ht="25.5" customHeight="1">
      <c r="A5" s="14" t="s">
        <v>1847</v>
      </c>
      <c r="B5" s="307" t="s">
        <v>1855</v>
      </c>
      <c r="C5" s="307" t="s">
        <v>1856</v>
      </c>
      <c r="D5" s="307" t="s">
        <v>1857</v>
      </c>
      <c r="E5" s="308" t="s">
        <v>1858</v>
      </c>
      <c r="F5" s="309">
        <v>46013</v>
      </c>
      <c r="G5" s="307" t="s">
        <v>1859</v>
      </c>
      <c r="H5" s="310" t="s">
        <v>1860</v>
      </c>
      <c r="I5" s="311" t="str">
        <f>HYPERLINK("https://drive.google.com/file/d/1BMtSJPBpgnqSwN1lKXQWOEEyilpxkwOd/view?usp=drivesdk","CSF")</f>
        <v>CSF</v>
      </c>
      <c r="J5" s="312" t="s">
        <v>1854</v>
      </c>
      <c r="K5" s="299"/>
      <c r="L5" s="190"/>
    </row>
    <row r="6" ht="25.5" customHeight="1">
      <c r="A6" s="14" t="s">
        <v>1847</v>
      </c>
      <c r="B6" s="307" t="s">
        <v>1861</v>
      </c>
      <c r="C6" s="307" t="s">
        <v>1862</v>
      </c>
      <c r="D6" s="307" t="s">
        <v>1863</v>
      </c>
      <c r="E6" s="308" t="s">
        <v>1864</v>
      </c>
      <c r="F6" s="309">
        <v>45986</v>
      </c>
      <c r="G6" s="307" t="s">
        <v>1865</v>
      </c>
      <c r="H6" s="310" t="s">
        <v>1866</v>
      </c>
      <c r="I6" s="311" t="str">
        <f>HYPERLINK("https://drive.google.com/file/d/1JxGn3BvuG_0TnBZHjskrIvcAoHRbdLcn/view?usp=drivesdk","Core 1 - Fundamentals of Programming using C")</f>
        <v xml:space="preserve">Core 1 - Fundamentals of Programming using C</v>
      </c>
      <c r="J6" s="312" t="s">
        <v>1854</v>
      </c>
      <c r="K6" s="299"/>
      <c r="L6" s="190"/>
    </row>
    <row r="7" ht="25.5" customHeight="1">
      <c r="A7" s="14" t="s">
        <v>1847</v>
      </c>
      <c r="B7" s="307" t="s">
        <v>1867</v>
      </c>
      <c r="C7" s="307" t="s">
        <v>1868</v>
      </c>
      <c r="D7" s="307" t="s">
        <v>1869</v>
      </c>
      <c r="E7" s="308" t="s">
        <v>1870</v>
      </c>
      <c r="F7" s="309">
        <v>45986</v>
      </c>
      <c r="G7" s="307" t="s">
        <v>1871</v>
      </c>
      <c r="H7" s="310" t="s">
        <v>1872</v>
      </c>
      <c r="I7" s="311" t="str">
        <f>HYPERLINK("https://drive.google.com/file/d/1y-jw_X0r3RMBdef7hZHcPcoedZzlqi5Z/view?usp=drivesdk","Core 2 - Fundamentals of Web Development")</f>
        <v xml:space="preserve">Core 2 - Fundamentals of Web Development</v>
      </c>
      <c r="J7" s="312" t="s">
        <v>1854</v>
      </c>
      <c r="K7" s="299"/>
      <c r="L7" s="190"/>
    </row>
    <row r="8" ht="25.5" customHeight="1">
      <c r="A8" s="14" t="s">
        <v>1847</v>
      </c>
      <c r="B8" s="307" t="s">
        <v>1873</v>
      </c>
      <c r="C8" s="307" t="s">
        <v>1874</v>
      </c>
      <c r="D8" s="307" t="s">
        <v>1875</v>
      </c>
      <c r="E8" s="308" t="s">
        <v>1876</v>
      </c>
      <c r="F8" s="309">
        <v>46013</v>
      </c>
      <c r="G8" s="307" t="s">
        <v>1877</v>
      </c>
      <c r="H8" s="310" t="s">
        <v>1878</v>
      </c>
      <c r="I8" s="311" t="str">
        <f>HYPERLINK("https://drive.google.com/file/d/1VNlma5pkuRrBgpv91x8iW6mZmmxw3MQ5/view?usp=drivesdk","AI &amp; ML")</f>
        <v xml:space="preserve">AI &amp; ML</v>
      </c>
      <c r="J8" s="312" t="s">
        <v>1854</v>
      </c>
      <c r="K8" s="299"/>
      <c r="L8" s="190"/>
    </row>
    <row r="9" ht="25.5" customHeight="1">
      <c r="A9" s="14" t="s">
        <v>1847</v>
      </c>
      <c r="B9" s="307" t="s">
        <v>1879</v>
      </c>
      <c r="C9" s="307" t="s">
        <v>1880</v>
      </c>
      <c r="D9" s="307" t="s">
        <v>1857</v>
      </c>
      <c r="E9" s="308" t="s">
        <v>1881</v>
      </c>
      <c r="F9" s="309">
        <v>45986</v>
      </c>
      <c r="G9" s="307" t="s">
        <v>1882</v>
      </c>
      <c r="H9" s="310" t="s">
        <v>1883</v>
      </c>
      <c r="I9" s="311" t="str">
        <f>HYPERLINK("https://drive.google.com/file/d/11RQIpvK8U4tF8vxfiLafwr2SoaA-_EJO/view?usp=drivesdk","CSF")</f>
        <v>CSF</v>
      </c>
      <c r="J9" s="312" t="s">
        <v>1854</v>
      </c>
      <c r="K9" s="299"/>
      <c r="L9" s="190"/>
    </row>
    <row r="10" ht="25.5" customHeight="1">
      <c r="A10" s="14" t="s">
        <v>1847</v>
      </c>
      <c r="B10" s="307" t="s">
        <v>1884</v>
      </c>
      <c r="C10" s="307" t="s">
        <v>1885</v>
      </c>
      <c r="D10" s="307" t="s">
        <v>1886</v>
      </c>
      <c r="E10" s="308" t="s">
        <v>1887</v>
      </c>
      <c r="F10" s="309">
        <v>45986</v>
      </c>
      <c r="G10" s="307" t="s">
        <v>1888</v>
      </c>
      <c r="H10" s="310" t="s">
        <v>1889</v>
      </c>
      <c r="I10" s="311" t="str">
        <f>HYPERLINK("https://drive.google.com/file/d/1E2ThvZa6uYZDQxF4irUhYQUKPhO2rqJo/view?usp=drivesdk","Core 2 - Digital Electronics ")</f>
        <v xml:space="preserve">Core 2 - Digital Electronics </v>
      </c>
      <c r="J10" s="312" t="s">
        <v>1890</v>
      </c>
      <c r="K10" s="299"/>
      <c r="L10" s="190"/>
    </row>
    <row r="11" ht="25.5" customHeight="1">
      <c r="A11" s="14" t="s">
        <v>1847</v>
      </c>
      <c r="B11" s="307" t="s">
        <v>1891</v>
      </c>
      <c r="C11" s="307" t="s">
        <v>1892</v>
      </c>
      <c r="D11" s="307" t="s">
        <v>1893</v>
      </c>
      <c r="E11" s="308" t="s">
        <v>1894</v>
      </c>
      <c r="F11" s="309">
        <v>45986</v>
      </c>
      <c r="G11" s="307" t="s">
        <v>1895</v>
      </c>
      <c r="H11" s="310" t="s">
        <v>1896</v>
      </c>
      <c r="I11" s="311" t="str">
        <f>HYPERLINK("https://drive.google.com/file/d/1nB36oNXihotSqcVi3Zo6fWirl8zyJtWC/view?usp=drivesdk","Data Visualization for Business Intelligence")</f>
        <v xml:space="preserve">Data Visualization for Business Intelligence</v>
      </c>
      <c r="J11" s="312" t="s">
        <v>1890</v>
      </c>
      <c r="K11" s="299"/>
      <c r="L11" s="190"/>
    </row>
    <row r="12" ht="25.5" customHeight="1">
      <c r="A12" s="14" t="s">
        <v>1847</v>
      </c>
      <c r="B12" s="307" t="s">
        <v>1897</v>
      </c>
      <c r="C12" s="307" t="s">
        <v>1898</v>
      </c>
      <c r="D12" s="307" t="s">
        <v>1899</v>
      </c>
      <c r="E12" s="308" t="s">
        <v>1900</v>
      </c>
      <c r="F12" s="309">
        <v>45986</v>
      </c>
      <c r="G12" s="307" t="s">
        <v>1901</v>
      </c>
      <c r="H12" s="310" t="s">
        <v>1902</v>
      </c>
      <c r="I12" s="311" t="str">
        <f>HYPERLINK("https://drive.google.com/file/d/1crWestL81Jz9Inhum9EU1dv8npLyZeNs/view?usp=drivesdk","Core 3 - Database Management Systems ")</f>
        <v xml:space="preserve">Core 3 - Database Management Systems </v>
      </c>
      <c r="J12" s="312" t="s">
        <v>1890</v>
      </c>
      <c r="K12" s="299"/>
      <c r="L12" s="190"/>
    </row>
    <row r="13" ht="25.5" customHeight="1">
      <c r="A13" s="14" t="s">
        <v>1847</v>
      </c>
      <c r="B13" s="307" t="s">
        <v>1903</v>
      </c>
      <c r="C13" s="307" t="s">
        <v>1904</v>
      </c>
      <c r="D13" s="307" t="s">
        <v>1905</v>
      </c>
      <c r="E13" s="308" t="s">
        <v>1906</v>
      </c>
      <c r="F13" s="309">
        <v>45986</v>
      </c>
      <c r="G13" s="307" t="s">
        <v>1907</v>
      </c>
      <c r="H13" s="310" t="s">
        <v>1908</v>
      </c>
      <c r="I13" s="311" t="str">
        <f>HYPERLINK("https://drive.google.com/file/d/15J5FSzphvwLqaWpKgc0l7RAuqQwM9RgR/view?usp=drivesdk","Core 4 - System Analysis and Design ")</f>
        <v xml:space="preserve">Core 4 - System Analysis and Design </v>
      </c>
      <c r="J13" s="312" t="s">
        <v>1890</v>
      </c>
      <c r="K13" s="299"/>
      <c r="L13" s="190"/>
    </row>
    <row r="14" ht="25.5" customHeight="1">
      <c r="A14" s="14" t="s">
        <v>1847</v>
      </c>
      <c r="B14" s="307" t="s">
        <v>1909</v>
      </c>
      <c r="C14" s="307" t="s">
        <v>1910</v>
      </c>
      <c r="D14" s="307" t="s">
        <v>1911</v>
      </c>
      <c r="E14" s="308" t="s">
        <v>1912</v>
      </c>
      <c r="F14" s="309">
        <v>45986</v>
      </c>
      <c r="G14" s="307" t="s">
        <v>1913</v>
      </c>
      <c r="H14" s="310" t="s">
        <v>1914</v>
      </c>
      <c r="I14" s="311" t="str">
        <f>HYPERLINK("https://drive.google.com/file/d/1vwhsk2Qnn1f7zOXjThHweIhgNtvu_v1y/view?usp=drivesdk","R-programming ")</f>
        <v xml:space="preserve">R-programming </v>
      </c>
      <c r="J14" s="312" t="s">
        <v>1890</v>
      </c>
      <c r="K14" s="299"/>
      <c r="L14" s="190"/>
    </row>
    <row r="15" ht="25.5" customHeight="1">
      <c r="A15" s="14" t="s">
        <v>1847</v>
      </c>
      <c r="B15" s="307" t="s">
        <v>1915</v>
      </c>
      <c r="C15" s="307" t="s">
        <v>1916</v>
      </c>
      <c r="D15" s="307" t="s">
        <v>1917</v>
      </c>
      <c r="E15" s="308" t="s">
        <v>1918</v>
      </c>
      <c r="F15" s="309">
        <v>45986</v>
      </c>
      <c r="G15" s="307" t="s">
        <v>1919</v>
      </c>
      <c r="H15" s="310" t="s">
        <v>1920</v>
      </c>
      <c r="I15" s="311" t="str">
        <f>HYPERLINK("https://drive.google.com/file/d/1T8rpyuFewPsoJcvtEFOa3MghiH8u2_aV/view?usp=drivesdk","Core 5 - Object Oriented Development with JAVA")</f>
        <v xml:space="preserve">Core 5 - Object Oriented Development with JAVA</v>
      </c>
      <c r="J15" s="312" t="s">
        <v>1890</v>
      </c>
      <c r="K15" s="299"/>
      <c r="L15" s="190"/>
    </row>
    <row r="16" ht="25.5" customHeight="1">
      <c r="A16" s="14" t="s">
        <v>1847</v>
      </c>
      <c r="B16" s="307" t="s">
        <v>1921</v>
      </c>
      <c r="C16" s="307" t="s">
        <v>1922</v>
      </c>
      <c r="D16" s="307" t="s">
        <v>1923</v>
      </c>
      <c r="E16" s="308" t="s">
        <v>1924</v>
      </c>
      <c r="F16" s="309">
        <v>45986</v>
      </c>
      <c r="G16" s="307" t="s">
        <v>1925</v>
      </c>
      <c r="H16" s="310" t="s">
        <v>1926</v>
      </c>
      <c r="I16" s="311" t="str">
        <f>HYPERLINK("https://drive.google.com/file/d/1yV_baoi4hN96V3uJtI74rnF1JxZkb4Hl/view?usp=drivesdk","Core 6 - Data Structure ")</f>
        <v xml:space="preserve">Core 6 - Data Structure </v>
      </c>
      <c r="J16" s="312" t="s">
        <v>1927</v>
      </c>
      <c r="K16" s="299"/>
      <c r="L16" s="190"/>
    </row>
    <row r="17" ht="25.5" customHeight="1">
      <c r="A17" s="14" t="s">
        <v>1847</v>
      </c>
      <c r="B17" s="307" t="s">
        <v>1928</v>
      </c>
      <c r="C17" s="307" t="s">
        <v>1929</v>
      </c>
      <c r="D17" s="307" t="s">
        <v>1930</v>
      </c>
      <c r="E17" s="308" t="s">
        <v>1931</v>
      </c>
      <c r="F17" s="309">
        <v>45986</v>
      </c>
      <c r="G17" s="307" t="s">
        <v>1932</v>
      </c>
      <c r="H17" s="310" t="s">
        <v>1933</v>
      </c>
      <c r="I17" s="311" t="str">
        <f>HYPERLINK("https://drive.google.com/file/d/1mGKZU0uCN9i01uRRJT5mQTTS5FVMMs8o/view?usp=drivesdk","Core 7- Operating System with Linux &amp; Shell Programming")</f>
        <v xml:space="preserve">Core 7- Operating System with Linux &amp; Shell Programming</v>
      </c>
      <c r="J17" s="312" t="s">
        <v>1927</v>
      </c>
      <c r="K17" s="299"/>
      <c r="L17" s="190"/>
    </row>
    <row r="18" ht="25.5" customHeight="1">
      <c r="A18" s="14" t="s">
        <v>1847</v>
      </c>
      <c r="B18" s="307" t="s">
        <v>1934</v>
      </c>
      <c r="C18" s="307" t="s">
        <v>1935</v>
      </c>
      <c r="D18" s="307" t="s">
        <v>1875</v>
      </c>
      <c r="E18" s="308" t="s">
        <v>1936</v>
      </c>
      <c r="F18" s="309">
        <v>45986</v>
      </c>
      <c r="G18" s="307" t="s">
        <v>1937</v>
      </c>
      <c r="H18" s="310" t="s">
        <v>1938</v>
      </c>
      <c r="I18" s="311" t="str">
        <f>HYPERLINK("https://drive.google.com/file/d/1alQ0qCBNaTjN7MjdPwFwV_xn0rS9iZiZ/view?usp=drivesdk","AI &amp; ML")</f>
        <v xml:space="preserve">AI &amp; ML</v>
      </c>
      <c r="J18" s="312" t="s">
        <v>1927</v>
      </c>
      <c r="K18" s="299"/>
      <c r="L18" s="190"/>
    </row>
    <row r="19" ht="25.5" customHeight="1">
      <c r="A19" s="14" t="s">
        <v>1847</v>
      </c>
      <c r="B19" s="307" t="s">
        <v>1879</v>
      </c>
      <c r="C19" s="307" t="s">
        <v>1939</v>
      </c>
      <c r="D19" s="307" t="s">
        <v>1857</v>
      </c>
      <c r="E19" s="308" t="s">
        <v>1940</v>
      </c>
      <c r="F19" s="309">
        <v>45986</v>
      </c>
      <c r="G19" s="307" t="s">
        <v>1941</v>
      </c>
      <c r="H19" s="310" t="s">
        <v>1942</v>
      </c>
      <c r="I19" s="311" t="str">
        <f>HYPERLINK("https://drive.google.com/file/d/1ukt74oSwZDMrgvg9stwm5Snlpmro3Gng/view?usp=drivesdk","CSF")</f>
        <v>CSF</v>
      </c>
      <c r="J19" s="312" t="s">
        <v>1927</v>
      </c>
      <c r="K19" s="299"/>
      <c r="L19" s="190"/>
    </row>
    <row r="20" ht="25.5" customHeight="1">
      <c r="A20" s="14" t="s">
        <v>1847</v>
      </c>
      <c r="B20" s="307" t="s">
        <v>1885</v>
      </c>
      <c r="C20" s="307" t="s">
        <v>1943</v>
      </c>
      <c r="D20" s="307" t="s">
        <v>1944</v>
      </c>
      <c r="E20" s="308" t="s">
        <v>1945</v>
      </c>
      <c r="F20" s="309">
        <v>45986</v>
      </c>
      <c r="G20" s="307" t="s">
        <v>1946</v>
      </c>
      <c r="H20" s="310" t="s">
        <v>1947</v>
      </c>
      <c r="I20" s="311" t="str">
        <f>HYPERLINK("https://drive.google.com/file/d/1csEENhS50ik59LdBU4y3oaZBTC6X9YGL/view?usp=drivesdk","Core-8- Data Communication and Networking ")</f>
        <v xml:space="preserve">Core-8- Data Communication and Networking </v>
      </c>
      <c r="J20" s="312" t="s">
        <v>1927</v>
      </c>
      <c r="K20" s="299"/>
      <c r="L20" s="190"/>
    </row>
    <row r="21" ht="25.5" customHeight="1">
      <c r="A21" s="14" t="s">
        <v>1847</v>
      </c>
      <c r="B21" s="307" t="s">
        <v>1948</v>
      </c>
      <c r="C21" s="307" t="s">
        <v>1949</v>
      </c>
      <c r="D21" s="307" t="s">
        <v>1950</v>
      </c>
      <c r="E21" s="308" t="s">
        <v>1951</v>
      </c>
      <c r="F21" s="309">
        <v>45986</v>
      </c>
      <c r="G21" s="307" t="s">
        <v>1952</v>
      </c>
      <c r="H21" s="310" t="s">
        <v>1953</v>
      </c>
      <c r="I21" s="311" t="str">
        <f>HYPERLINK("https://drive.google.com/file/d/154EXhdDSi-0OdipgxHqv75khnYt3qz78/view?usp=drivesdk","Core 9 - Open Source Technology using PHP")</f>
        <v xml:space="preserve">Core 9 - Open Source Technology using PHP</v>
      </c>
      <c r="J21" s="312" t="s">
        <v>1927</v>
      </c>
      <c r="K21" s="299"/>
      <c r="L21" s="190"/>
    </row>
    <row r="22" ht="25.5" customHeight="1">
      <c r="A22" s="14" t="s">
        <v>1847</v>
      </c>
      <c r="B22" s="307" t="s">
        <v>1954</v>
      </c>
      <c r="C22" s="307" t="s">
        <v>1955</v>
      </c>
      <c r="D22" s="307" t="s">
        <v>1956</v>
      </c>
      <c r="E22" s="308" t="s">
        <v>1957</v>
      </c>
      <c r="F22" s="309">
        <v>45986</v>
      </c>
      <c r="G22" s="307" t="s">
        <v>1958</v>
      </c>
      <c r="H22" s="310" t="s">
        <v>1959</v>
      </c>
      <c r="I22" s="311" t="str">
        <f>HYPERLINK("https://drive.google.com/file/d/1A8LaY2NI9RkfiekjM0BskQSBP-0CywZl/view?usp=drivesdk","Specialization - Artificial Intelligence - I")</f>
        <v xml:space="preserve">Specialization - Artificial Intelligence - I</v>
      </c>
      <c r="J22" s="312" t="s">
        <v>1960</v>
      </c>
      <c r="K22" s="299"/>
      <c r="L22" s="190"/>
    </row>
    <row r="23" ht="25.5" customHeight="1">
      <c r="A23" s="14" t="s">
        <v>1847</v>
      </c>
      <c r="B23" s="307" t="s">
        <v>1961</v>
      </c>
      <c r="C23" s="307" t="s">
        <v>1962</v>
      </c>
      <c r="D23" s="307" t="s">
        <v>1963</v>
      </c>
      <c r="E23" s="308" t="s">
        <v>1964</v>
      </c>
      <c r="F23" s="309">
        <v>45986</v>
      </c>
      <c r="G23" s="307" t="s">
        <v>1965</v>
      </c>
      <c r="H23" s="310" t="s">
        <v>1966</v>
      </c>
      <c r="I23" s="311" t="str">
        <f>HYPERLINK("https://drive.google.com/file/d/1omaTDMCsz4HYKnFu95lcy2mEGznvzkAT/view?usp=drivesdk","Specialization - Big Data Analytics - I")</f>
        <v xml:space="preserve">Specialization - Big Data Analytics - I</v>
      </c>
      <c r="J23" s="312" t="s">
        <v>1960</v>
      </c>
      <c r="K23" s="299"/>
      <c r="L23" s="190"/>
    </row>
    <row r="24" ht="25.5" customHeight="1">
      <c r="A24" s="14" t="s">
        <v>1847</v>
      </c>
      <c r="B24" s="307" t="s">
        <v>1967</v>
      </c>
      <c r="C24" s="307" t="s">
        <v>1968</v>
      </c>
      <c r="D24" s="307" t="s">
        <v>1969</v>
      </c>
      <c r="E24" s="308" t="s">
        <v>1970</v>
      </c>
      <c r="F24" s="309">
        <v>45986</v>
      </c>
      <c r="G24" s="307" t="s">
        <v>1971</v>
      </c>
      <c r="H24" s="310" t="s">
        <v>1972</v>
      </c>
      <c r="I24" s="311" t="str">
        <f>HYPERLINK("https://drive.google.com/file/d/1UoDX33xaD3qrBSuUc_zIZcU4Y5ytxPxN/view?usp=drivesdk","Specialization - Block Chain Technology - I")</f>
        <v xml:space="preserve">Specialization - Block Chain Technology - I</v>
      </c>
      <c r="J24" s="312" t="s">
        <v>1960</v>
      </c>
      <c r="K24" s="299"/>
      <c r="L24" s="190"/>
    </row>
    <row r="25" ht="25.5" customHeight="1">
      <c r="A25" s="14" t="s">
        <v>1847</v>
      </c>
      <c r="B25" s="307" t="s">
        <v>1973</v>
      </c>
      <c r="C25" s="307" t="s">
        <v>1974</v>
      </c>
      <c r="D25" s="307" t="s">
        <v>1975</v>
      </c>
      <c r="E25" s="308" t="s">
        <v>1976</v>
      </c>
      <c r="F25" s="309">
        <v>45986</v>
      </c>
      <c r="G25" s="307" t="s">
        <v>1977</v>
      </c>
      <c r="H25" s="310" t="s">
        <v>1978</v>
      </c>
      <c r="I25" s="311" t="str">
        <f>HYPERLINK("https://drive.google.com/file/d/1Tew5Y7qJlkFmyktM4PiBsLG9sxmd4GS3/view?usp=drivesdk","Specialization - Cloud Computing - I")</f>
        <v xml:space="preserve">Specialization - Cloud Computing - I</v>
      </c>
      <c r="J25" s="312" t="s">
        <v>1960</v>
      </c>
      <c r="K25" s="299"/>
      <c r="L25" s="190"/>
    </row>
    <row r="26" ht="25.5" customHeight="1">
      <c r="A26" s="55" t="s">
        <v>153</v>
      </c>
      <c r="B26" s="313" t="s">
        <v>1979</v>
      </c>
      <c r="C26" s="313" t="s">
        <v>1980</v>
      </c>
      <c r="D26" s="313" t="s">
        <v>1981</v>
      </c>
      <c r="E26" s="314" t="s">
        <v>1982</v>
      </c>
      <c r="F26" s="315">
        <v>46084</v>
      </c>
      <c r="G26" s="313" t="s">
        <v>1983</v>
      </c>
      <c r="H26" s="316" t="s">
        <v>1984</v>
      </c>
      <c r="I26" s="317" t="str">
        <f>HYPERLINK("https://drive.google.com/file/d/1KdGjofO9aadmDvl272Oyj8sjizEZAZkv/view?usp=drivesdk","Power Electronics - II")</f>
        <v xml:space="preserve">Power Electronics - II</v>
      </c>
      <c r="J26" s="318" t="s">
        <v>1985</v>
      </c>
      <c r="K26" s="299"/>
      <c r="L26" s="190"/>
    </row>
    <row r="27" ht="25.5" customHeight="1">
      <c r="A27" s="55" t="s">
        <v>153</v>
      </c>
      <c r="B27" s="313" t="s">
        <v>1986</v>
      </c>
      <c r="C27" s="313" t="s">
        <v>1987</v>
      </c>
      <c r="D27" s="313" t="s">
        <v>1988</v>
      </c>
      <c r="E27" s="314" t="s">
        <v>1989</v>
      </c>
      <c r="F27" s="315">
        <v>46101</v>
      </c>
      <c r="G27" s="313" t="s">
        <v>1990</v>
      </c>
      <c r="H27" s="316" t="s">
        <v>1991</v>
      </c>
      <c r="I27" s="317" t="str">
        <f>HYPERLINK("https://drive.google.com/file/d/1cpvjucmyUL_4pxfFXnJL0Nr-aBzbh-AW/view?usp=drivesdk","Analysis of Mechanism and Machine Elements")</f>
        <v xml:space="preserve">Analysis of Mechanism and Machine Elements</v>
      </c>
      <c r="J27" s="318" t="s">
        <v>1985</v>
      </c>
      <c r="K27" s="299"/>
      <c r="L27" s="190"/>
    </row>
    <row r="28" ht="25.5" customHeight="1">
      <c r="A28" s="55" t="s">
        <v>153</v>
      </c>
      <c r="B28" s="313" t="s">
        <v>1992</v>
      </c>
      <c r="C28" s="313" t="s">
        <v>1993</v>
      </c>
      <c r="D28" s="313" t="s">
        <v>1994</v>
      </c>
      <c r="E28" s="314" t="s">
        <v>1995</v>
      </c>
      <c r="F28" s="315">
        <v>46101</v>
      </c>
      <c r="G28" s="313" t="s">
        <v>1996</v>
      </c>
      <c r="H28" s="316" t="s">
        <v>1997</v>
      </c>
      <c r="I28" s="317" t="str">
        <f>HYPERLINK("https://drive.google.com/file/d/1gUZPmpgbH62_4i96n1a3X3JLOK9inzW0/view?usp=drivesdk","Aerodynamics I")</f>
        <v xml:space="preserve">Aerodynamics I</v>
      </c>
      <c r="J28" s="318" t="s">
        <v>1985</v>
      </c>
      <c r="K28" s="299"/>
      <c r="L28" s="190"/>
    </row>
    <row r="29" ht="25.5" customHeight="1">
      <c r="A29" s="55" t="s">
        <v>153</v>
      </c>
      <c r="B29" s="313" t="s">
        <v>1998</v>
      </c>
      <c r="C29" s="313" t="s">
        <v>1999</v>
      </c>
      <c r="D29" s="313" t="s">
        <v>2000</v>
      </c>
      <c r="E29" s="314" t="s">
        <v>2001</v>
      </c>
      <c r="F29" s="315">
        <v>46101</v>
      </c>
      <c r="G29" s="313" t="s">
        <v>2002</v>
      </c>
      <c r="H29" s="316" t="s">
        <v>2003</v>
      </c>
      <c r="I29" s="317" t="str">
        <f>HYPERLINK("https://drive.google.com/file/d/1T3WrvWXhqfrkMascRUdJoF5zNZSh020X/view?usp=drivesdk","Propulsion I")</f>
        <v xml:space="preserve">Propulsion I</v>
      </c>
      <c r="J29" s="318" t="s">
        <v>1985</v>
      </c>
      <c r="K29" s="299"/>
      <c r="L29" s="190"/>
    </row>
    <row r="30" ht="25.5" customHeight="1">
      <c r="A30" s="55" t="s">
        <v>153</v>
      </c>
      <c r="B30" s="313" t="s">
        <v>2004</v>
      </c>
      <c r="C30" s="313" t="s">
        <v>2005</v>
      </c>
      <c r="D30" s="313" t="s">
        <v>2006</v>
      </c>
      <c r="E30" s="314" t="s">
        <v>2007</v>
      </c>
      <c r="F30" s="315">
        <v>46101</v>
      </c>
      <c r="G30" s="313" t="s">
        <v>2008</v>
      </c>
      <c r="H30" s="316" t="s">
        <v>2009</v>
      </c>
      <c r="I30" s="317" t="str">
        <f>HYPERLINK("https://drive.google.com/file/d/1repwrDO5b_ovi_UI4oriw2HAvoBKXiUz/view?usp=drivesdk","Introduction to Aerospace  Engineering")</f>
        <v xml:space="preserve">Introduction to Aerospace  Engineering</v>
      </c>
      <c r="J30" s="318" t="s">
        <v>2010</v>
      </c>
      <c r="K30" s="299"/>
      <c r="L30" s="190"/>
    </row>
    <row r="31" ht="25.5" customHeight="1">
      <c r="A31" s="55" t="s">
        <v>153</v>
      </c>
      <c r="B31" s="313" t="s">
        <v>2011</v>
      </c>
      <c r="C31" s="313" t="s">
        <v>2012</v>
      </c>
      <c r="D31" s="313" t="s">
        <v>2013</v>
      </c>
      <c r="E31" s="314" t="s">
        <v>2014</v>
      </c>
      <c r="F31" s="315">
        <v>46101</v>
      </c>
      <c r="G31" s="313" t="s">
        <v>2015</v>
      </c>
      <c r="H31" s="316" t="s">
        <v>2016</v>
      </c>
      <c r="I31" s="317" t="str">
        <f>HYPERLINK("https://drive.google.com/file/d/1e4tM0JF2EKumNiQJxILyv1_MyiNKAoeV/view?usp=drivesdk","Aircraft Struture I")</f>
        <v xml:space="preserve">Aircraft Struture I</v>
      </c>
      <c r="J31" s="318" t="s">
        <v>2010</v>
      </c>
      <c r="K31" s="299"/>
      <c r="L31" s="190"/>
    </row>
    <row r="32" ht="25.5" customHeight="1">
      <c r="A32" s="55" t="s">
        <v>153</v>
      </c>
      <c r="B32" s="313" t="s">
        <v>2017</v>
      </c>
      <c r="C32" s="313" t="s">
        <v>2018</v>
      </c>
      <c r="D32" s="313" t="s">
        <v>2019</v>
      </c>
      <c r="E32" s="314" t="s">
        <v>2020</v>
      </c>
      <c r="F32" s="315">
        <v>46101</v>
      </c>
      <c r="G32" s="313" t="s">
        <v>2021</v>
      </c>
      <c r="H32" s="316" t="s">
        <v>2022</v>
      </c>
      <c r="I32" s="317" t="str">
        <f>HYPERLINK("https://drive.google.com/file/d/1oPLXRg_cVxE5BFogdvlrEHXnTYM_q0rP/view?usp=drivesdk","Web Design")</f>
        <v xml:space="preserve">Web Design</v>
      </c>
      <c r="J32" s="318" t="s">
        <v>2010</v>
      </c>
      <c r="K32" s="299"/>
      <c r="L32" s="190"/>
    </row>
    <row r="33" ht="25.5" customHeight="1">
      <c r="A33" s="55" t="s">
        <v>153</v>
      </c>
      <c r="B33" s="313" t="s">
        <v>2023</v>
      </c>
      <c r="C33" s="313" t="s">
        <v>2024</v>
      </c>
      <c r="D33" s="313" t="s">
        <v>2025</v>
      </c>
      <c r="E33" s="314" t="s">
        <v>2026</v>
      </c>
      <c r="F33" s="315">
        <v>46084</v>
      </c>
      <c r="G33" s="313" t="s">
        <v>2027</v>
      </c>
      <c r="H33" s="316" t="s">
        <v>2028</v>
      </c>
      <c r="I33" s="317" t="str">
        <f>HYPERLINK("https://drive.google.com/file/d/1h1jBsFglaT8Q2y3NSfnc7088-xxdg__G/view?usp=drivesdk","DBMS")</f>
        <v>DBMS</v>
      </c>
      <c r="J33" s="318" t="s">
        <v>2010</v>
      </c>
      <c r="K33" s="299"/>
      <c r="L33" s="190"/>
    </row>
    <row r="34" ht="25.5" customHeight="1">
      <c r="A34" s="55" t="s">
        <v>153</v>
      </c>
      <c r="B34" s="313" t="s">
        <v>2029</v>
      </c>
      <c r="C34" s="313" t="s">
        <v>2030</v>
      </c>
      <c r="D34" s="313" t="s">
        <v>2031</v>
      </c>
      <c r="E34" s="314" t="s">
        <v>2032</v>
      </c>
      <c r="F34" s="315">
        <v>46116</v>
      </c>
      <c r="G34" s="313" t="s">
        <v>2033</v>
      </c>
      <c r="H34" s="316" t="s">
        <v>2034</v>
      </c>
      <c r="I34" s="317" t="str">
        <f>HYPERLINK("https://drive.google.com/file/d/1nSiLwV51NWcVAEqq0lHd3x5kZHBjHI-7/view?usp=drivesdk","AWS Cloud Computing")</f>
        <v xml:space="preserve">AWS Cloud Computing</v>
      </c>
      <c r="J34" s="318" t="s">
        <v>2010</v>
      </c>
      <c r="K34" s="299"/>
      <c r="L34" s="190"/>
    </row>
    <row r="35" ht="25.5" customHeight="1">
      <c r="A35" s="14" t="s">
        <v>231</v>
      </c>
      <c r="B35" s="319" t="s">
        <v>2035</v>
      </c>
      <c r="C35" s="319" t="s">
        <v>2036</v>
      </c>
      <c r="D35" s="319" t="s">
        <v>2037</v>
      </c>
      <c r="E35" s="320" t="s">
        <v>2038</v>
      </c>
      <c r="F35" s="321">
        <v>46045</v>
      </c>
      <c r="G35" s="319" t="s">
        <v>2039</v>
      </c>
      <c r="H35" s="322" t="s">
        <v>2040</v>
      </c>
      <c r="I35" s="323" t="str">
        <f>HYPERLINK("https://drive.google.com/file/d/18PVyF4RXslj0awwoSpY87xn6e4Fb3k0x/view?usp=drivesdk","Introduction to Aeronautical Engineering")</f>
        <v xml:space="preserve">Introduction to Aeronautical Engineering</v>
      </c>
      <c r="J35" s="324" t="s">
        <v>2041</v>
      </c>
      <c r="K35" s="299"/>
      <c r="L35" s="190"/>
    </row>
    <row r="36" ht="25.5" customHeight="1">
      <c r="A36" s="14" t="s">
        <v>231</v>
      </c>
      <c r="B36" s="319" t="s">
        <v>2042</v>
      </c>
      <c r="C36" s="319" t="s">
        <v>2043</v>
      </c>
      <c r="D36" s="319" t="s">
        <v>2044</v>
      </c>
      <c r="E36" s="320" t="s">
        <v>2045</v>
      </c>
      <c r="F36" s="321">
        <v>46045</v>
      </c>
      <c r="G36" s="319" t="s">
        <v>2046</v>
      </c>
      <c r="H36" s="322" t="s">
        <v>2047</v>
      </c>
      <c r="I36" s="323" t="str">
        <f>HYPERLINK("https://drive.google.com/file/d/17B3-dOgO96i1vaw0Y7IBvYFqC1gi2UnP/view?usp=drivesdk","Energy Conservation")</f>
        <v xml:space="preserve">Energy Conservation</v>
      </c>
      <c r="J36" s="324" t="s">
        <v>2048</v>
      </c>
      <c r="K36" s="299"/>
      <c r="L36" s="190"/>
    </row>
    <row r="37" ht="25.5" customHeight="1">
      <c r="A37" s="14" t="s">
        <v>231</v>
      </c>
      <c r="B37" s="319" t="s">
        <v>2049</v>
      </c>
      <c r="C37" s="319" t="s">
        <v>2050</v>
      </c>
      <c r="D37" s="319" t="s">
        <v>2051</v>
      </c>
      <c r="E37" s="320" t="s">
        <v>2052</v>
      </c>
      <c r="F37" s="321">
        <v>46045</v>
      </c>
      <c r="G37" s="319" t="s">
        <v>2053</v>
      </c>
      <c r="H37" s="322" t="s">
        <v>2054</v>
      </c>
      <c r="I37" s="323" t="str">
        <f>HYPERLINK("https://drive.google.com/file/d/1p-oC36Is8HrI_KuDprZZ7hJ0VFAO2-nd/view?usp=drivesdk","Elements of Mechanical Engineering ")</f>
        <v xml:space="preserve">Elements of Mechanical Engineering </v>
      </c>
      <c r="J37" s="324" t="s">
        <v>2048</v>
      </c>
      <c r="K37" s="299"/>
      <c r="L37" s="190"/>
    </row>
    <row r="38" ht="25.5" customHeight="1">
      <c r="A38" s="14" t="s">
        <v>231</v>
      </c>
      <c r="B38" s="319" t="s">
        <v>2055</v>
      </c>
      <c r="C38" s="319" t="s">
        <v>2056</v>
      </c>
      <c r="D38" s="319" t="s">
        <v>2057</v>
      </c>
      <c r="E38" s="320" t="s">
        <v>2058</v>
      </c>
      <c r="F38" s="321">
        <v>46045</v>
      </c>
      <c r="G38" s="319" t="s">
        <v>2059</v>
      </c>
      <c r="H38" s="322" t="s">
        <v>2060</v>
      </c>
      <c r="I38" s="323" t="str">
        <f>HYPERLINK("https://drive.google.com/file/d/1pIVWFJ56F5KKFEBDHKtBuKN40dtOLTsL/view?usp=drivesdk","Environmental Science")</f>
        <v xml:space="preserve">Environmental Science</v>
      </c>
      <c r="J38" s="324" t="s">
        <v>2048</v>
      </c>
      <c r="K38" s="299"/>
      <c r="L38" s="190"/>
    </row>
    <row r="39" ht="25.5" customHeight="1">
      <c r="A39" s="14" t="s">
        <v>231</v>
      </c>
      <c r="B39" s="319" t="s">
        <v>2056</v>
      </c>
      <c r="C39" s="319" t="s">
        <v>2061</v>
      </c>
      <c r="D39" s="319" t="s">
        <v>2062</v>
      </c>
      <c r="E39" s="320" t="s">
        <v>2063</v>
      </c>
      <c r="F39" s="321">
        <v>46045</v>
      </c>
      <c r="G39" s="319" t="s">
        <v>2064</v>
      </c>
      <c r="H39" s="322" t="s">
        <v>2065</v>
      </c>
      <c r="I39" s="323" t="str">
        <f>HYPERLINK("https://drive.google.com/file/d/1xfASbpZaBDMI9ul-kITlrHhjw5gIH-EH/view?usp=drivesdk","Pollution Prevention and Control Techniques")</f>
        <v xml:space="preserve">Pollution Prevention and Control Techniques</v>
      </c>
      <c r="J39" s="324" t="s">
        <v>2048</v>
      </c>
      <c r="K39" s="299"/>
      <c r="L39" s="190"/>
    </row>
    <row r="40" ht="25.5" customHeight="1">
      <c r="A40" s="14" t="s">
        <v>231</v>
      </c>
      <c r="B40" s="319" t="s">
        <v>2066</v>
      </c>
      <c r="C40" s="319" t="s">
        <v>2067</v>
      </c>
      <c r="D40" s="319" t="s">
        <v>1009</v>
      </c>
      <c r="E40" s="320" t="s">
        <v>2068</v>
      </c>
      <c r="F40" s="321">
        <v>46045</v>
      </c>
      <c r="G40" s="319" t="s">
        <v>2069</v>
      </c>
      <c r="H40" s="322" t="s">
        <v>2070</v>
      </c>
      <c r="I40" s="323" t="str">
        <f>HYPERLINK("https://drive.google.com/file/d/1IdiaWeEj-bdDtlVRAOuYsEtYb2_TfSMt/view?usp=drivesdk","Disaster Management")</f>
        <v xml:space="preserve">Disaster Management</v>
      </c>
      <c r="J40" s="324" t="s">
        <v>2048</v>
      </c>
      <c r="K40" s="299"/>
      <c r="L40" s="190"/>
    </row>
    <row r="41" ht="25.5" customHeight="1">
      <c r="A41" s="325" t="s">
        <v>421</v>
      </c>
      <c r="B41" s="326" t="s">
        <v>428</v>
      </c>
      <c r="C41" s="326" t="s">
        <v>2071</v>
      </c>
      <c r="D41" s="327" t="s">
        <v>2072</v>
      </c>
      <c r="E41" s="328" t="s">
        <v>2073</v>
      </c>
      <c r="F41" s="329">
        <v>46052</v>
      </c>
      <c r="G41" s="326" t="s">
        <v>2074</v>
      </c>
      <c r="H41" s="330" t="s">
        <v>2075</v>
      </c>
      <c r="I41" s="331" t="str">
        <f>HYPERLINK("https://drive.google.com/file/d/1-3k9wamFLGkRlx-JyiL4KK1-DSiudF_L/view?usp=drivesdk","Introduction to Social Case Work and Group Work")</f>
        <v xml:space="preserve">Introduction to Social Case Work and Group Work</v>
      </c>
      <c r="J41" s="332" t="s">
        <v>2076</v>
      </c>
      <c r="K41" s="299"/>
      <c r="L41" s="190"/>
    </row>
    <row r="42" ht="25.5" customHeight="1">
      <c r="A42" s="22" t="s">
        <v>449</v>
      </c>
      <c r="B42" s="333" t="s">
        <v>2077</v>
      </c>
      <c r="C42" s="333" t="s">
        <v>2078</v>
      </c>
      <c r="D42" s="334" t="s">
        <v>2079</v>
      </c>
      <c r="E42" s="335" t="s">
        <v>2080</v>
      </c>
      <c r="F42" s="336">
        <v>46086</v>
      </c>
      <c r="G42" s="326" t="s">
        <v>2081</v>
      </c>
      <c r="H42" s="330" t="s">
        <v>2082</v>
      </c>
      <c r="I42" s="331" t="str">
        <f>HYPERLINK("https://drive.google.com/file/d/1S8UBFr9BX7loqvnpxXUW6g6786VdnvLy/view?usp=drivesdk","Food Storage Engineering ")</f>
        <v xml:space="preserve">Food Storage Engineering </v>
      </c>
      <c r="J42" s="332" t="s">
        <v>2083</v>
      </c>
      <c r="K42" s="299"/>
      <c r="L42" s="190"/>
    </row>
    <row r="43" ht="25.5" customHeight="1">
      <c r="A43" s="22" t="s">
        <v>449</v>
      </c>
      <c r="B43" s="333" t="s">
        <v>2084</v>
      </c>
      <c r="C43" s="333" t="s">
        <v>2085</v>
      </c>
      <c r="D43" s="337" t="s">
        <v>2086</v>
      </c>
      <c r="E43" s="338" t="s">
        <v>2087</v>
      </c>
      <c r="F43" s="339">
        <v>46380</v>
      </c>
      <c r="G43" s="326" t="s">
        <v>2088</v>
      </c>
      <c r="H43" s="330" t="s">
        <v>2089</v>
      </c>
      <c r="I43" s="331" t="str">
        <f>HYPERLINK("https://drive.google.com/file/d/12C9zNqh0naJOfnpfSBifLL1zRQtCSeYC/view?usp=drivesdk","Soil and Water Conservation Engineering")</f>
        <v xml:space="preserve">Soil and Water Conservation Engineering</v>
      </c>
      <c r="J43" s="332" t="s">
        <v>2090</v>
      </c>
      <c r="K43" s="299"/>
      <c r="L43" s="190"/>
    </row>
    <row r="44" ht="25.5" customHeight="1">
      <c r="A44" s="65" t="s">
        <v>2091</v>
      </c>
      <c r="B44" s="340" t="s">
        <v>2092</v>
      </c>
      <c r="C44" s="340" t="s">
        <v>2093</v>
      </c>
      <c r="D44" s="341" t="s">
        <v>2094</v>
      </c>
      <c r="E44" s="342" t="s">
        <v>2095</v>
      </c>
      <c r="F44" s="343">
        <v>45995</v>
      </c>
      <c r="G44" s="340" t="s">
        <v>2096</v>
      </c>
      <c r="H44" s="344" t="s">
        <v>2097</v>
      </c>
      <c r="I44" s="345" t="str">
        <f>HYPERLINK("https://drive.google.com/file/d/1k8yYPgxrllb771PddDjNCsNidi3kGixy/view?usp=drivesdk","Problem Solving using C")</f>
        <v xml:space="preserve">Problem Solving using C</v>
      </c>
      <c r="J44" s="346" t="s">
        <v>2098</v>
      </c>
      <c r="K44" s="299"/>
      <c r="L44" s="190"/>
    </row>
    <row r="45" ht="25.5" customHeight="1">
      <c r="A45" s="65" t="s">
        <v>2091</v>
      </c>
      <c r="B45" s="347" t="s">
        <v>2099</v>
      </c>
      <c r="C45" s="347" t="s">
        <v>2100</v>
      </c>
      <c r="D45" s="341" t="s">
        <v>2101</v>
      </c>
      <c r="E45" s="342" t="s">
        <v>2102</v>
      </c>
      <c r="F45" s="343">
        <v>45995</v>
      </c>
      <c r="G45" s="340" t="s">
        <v>2103</v>
      </c>
      <c r="H45" s="344" t="s">
        <v>2104</v>
      </c>
      <c r="I45" s="345" t="str">
        <f>HYPERLINK("https://drive.google.com/file/d/18BOiWkafnBaKJeEIWpTbdhEbMWyXRxi8/view?usp=drivesdk","Introduction to DBMS")</f>
        <v xml:space="preserve">Introduction to DBMS</v>
      </c>
      <c r="J45" s="346" t="s">
        <v>2098</v>
      </c>
      <c r="K45" s="299"/>
      <c r="L45" s="190"/>
    </row>
    <row r="46" ht="25.5" customHeight="1">
      <c r="A46" s="65" t="s">
        <v>2091</v>
      </c>
      <c r="B46" s="348" t="s">
        <v>2105</v>
      </c>
      <c r="C46" s="348" t="s">
        <v>2106</v>
      </c>
      <c r="D46" s="341" t="s">
        <v>2107</v>
      </c>
      <c r="E46" s="342" t="s">
        <v>2108</v>
      </c>
      <c r="F46" s="343">
        <v>45995</v>
      </c>
      <c r="G46" s="340" t="s">
        <v>2109</v>
      </c>
      <c r="H46" s="344" t="s">
        <v>2110</v>
      </c>
      <c r="I46" s="345" t="str">
        <f>HYPERLINK("https://drive.google.com/file/d/1hHJ_51JSThMxinLxEKJw4xann8fPsw6E/view?usp=drivesdk","Data Mining ")</f>
        <v xml:space="preserve">Data Mining </v>
      </c>
      <c r="J46" s="346" t="s">
        <v>2111</v>
      </c>
      <c r="K46" s="299"/>
      <c r="L46" s="190"/>
    </row>
    <row r="47" ht="25.5" customHeight="1">
      <c r="A47" s="65" t="s">
        <v>2091</v>
      </c>
      <c r="B47" s="348" t="s">
        <v>2112</v>
      </c>
      <c r="C47" s="348" t="s">
        <v>2113</v>
      </c>
      <c r="D47" s="341" t="s">
        <v>2114</v>
      </c>
      <c r="E47" s="342" t="s">
        <v>2115</v>
      </c>
      <c r="F47" s="343">
        <v>45995</v>
      </c>
      <c r="G47" s="340" t="s">
        <v>2116</v>
      </c>
      <c r="H47" s="344" t="s">
        <v>2117</v>
      </c>
      <c r="I47" s="345" t="str">
        <f>HYPERLINK("https://drive.google.com/file/d/1dygpOOrO4lpCXRR0K8sqcVj-ZdpeWC5j/view?usp=drivesdk","Cloud Computing ")</f>
        <v xml:space="preserve">Cloud Computing </v>
      </c>
      <c r="J47" s="346" t="s">
        <v>2111</v>
      </c>
      <c r="K47" s="299"/>
      <c r="L47" s="190"/>
    </row>
    <row r="48" ht="25.5" customHeight="1">
      <c r="A48" s="65" t="s">
        <v>2091</v>
      </c>
      <c r="B48" s="348" t="s">
        <v>2118</v>
      </c>
      <c r="C48" s="348" t="s">
        <v>2119</v>
      </c>
      <c r="D48" s="341" t="s">
        <v>2120</v>
      </c>
      <c r="E48" s="342" t="s">
        <v>2121</v>
      </c>
      <c r="F48" s="343">
        <v>45995</v>
      </c>
      <c r="G48" s="340" t="s">
        <v>2122</v>
      </c>
      <c r="H48" s="344" t="s">
        <v>2123</v>
      </c>
      <c r="I48" s="345" t="str">
        <f>HYPERLINK("https://drive.google.com/file/d/1huNTbUFKwWJxLH1p8-Qt7TApdiuJfy5i/view?usp=drivesdk","Mobile Application Development ")</f>
        <v xml:space="preserve">Mobile Application Development </v>
      </c>
      <c r="J48" s="346" t="s">
        <v>2111</v>
      </c>
      <c r="K48" s="299"/>
      <c r="L48" s="190"/>
    </row>
    <row r="49" ht="25.5" customHeight="1">
      <c r="A49" s="65" t="s">
        <v>2091</v>
      </c>
      <c r="B49" s="348" t="s">
        <v>2124</v>
      </c>
      <c r="C49" s="348" t="s">
        <v>2125</v>
      </c>
      <c r="D49" s="341" t="s">
        <v>2126</v>
      </c>
      <c r="E49" s="342" t="s">
        <v>2127</v>
      </c>
      <c r="F49" s="343">
        <v>45995</v>
      </c>
      <c r="G49" s="340" t="s">
        <v>2128</v>
      </c>
      <c r="H49" s="344" t="s">
        <v>2129</v>
      </c>
      <c r="I49" s="345" t="str">
        <f>HYPERLINK("https://drive.google.com/file/d/1vHLAun5KTXfQclX8qWi9l-nGd5Va8sT4/view?usp=drivesdk","Artificial Intelligence and Machine Learning")</f>
        <v xml:space="preserve">Artificial Intelligence and Machine Learning</v>
      </c>
      <c r="J49" s="346" t="s">
        <v>2111</v>
      </c>
      <c r="K49" s="299"/>
      <c r="L49" s="190"/>
    </row>
    <row r="50" ht="25.5" customHeight="1">
      <c r="A50" s="65" t="s">
        <v>2091</v>
      </c>
      <c r="B50" s="348" t="s">
        <v>2130</v>
      </c>
      <c r="C50" s="348" t="s">
        <v>2131</v>
      </c>
      <c r="D50" s="341" t="s">
        <v>2132</v>
      </c>
      <c r="E50" s="342" t="s">
        <v>2133</v>
      </c>
      <c r="F50" s="343">
        <v>45995</v>
      </c>
      <c r="G50" s="340" t="s">
        <v>2134</v>
      </c>
      <c r="H50" s="344" t="s">
        <v>2135</v>
      </c>
      <c r="I50" s="345" t="str">
        <f>HYPERLINK("https://drive.google.com/file/d/1deeFmdDNjbUDvuvgnJ-owostX0ZP6DDd/view?usp=drivesdk","Fundamentals of Computer application and web development")</f>
        <v xml:space="preserve">Fundamentals of Computer application and web development</v>
      </c>
      <c r="J50" s="346" t="s">
        <v>2111</v>
      </c>
      <c r="K50" s="299"/>
      <c r="L50" s="190"/>
    </row>
    <row r="51" ht="25.5" customHeight="1">
      <c r="A51" s="65" t="s">
        <v>2091</v>
      </c>
      <c r="B51" s="348" t="s">
        <v>2136</v>
      </c>
      <c r="C51" s="348" t="s">
        <v>2137</v>
      </c>
      <c r="D51" s="341" t="s">
        <v>2138</v>
      </c>
      <c r="E51" s="342" t="s">
        <v>2139</v>
      </c>
      <c r="F51" s="343">
        <v>45995</v>
      </c>
      <c r="G51" s="340" t="s">
        <v>2140</v>
      </c>
      <c r="H51" s="344" t="s">
        <v>2141</v>
      </c>
      <c r="I51" s="345" t="str">
        <f>HYPERLINK("https://drive.google.com/file/d/18bJkkwWuNcR2NDdKhgnZo9HyVmCJTunv/view?usp=drivesdk","Basics of Web Programming using PHP")</f>
        <v xml:space="preserve">Basics of Web Programming using PHP</v>
      </c>
      <c r="J51" s="346" t="s">
        <v>2111</v>
      </c>
      <c r="K51" s="299"/>
      <c r="L51" s="190"/>
    </row>
    <row r="52" ht="25.5" customHeight="1">
      <c r="A52" s="65" t="s">
        <v>2091</v>
      </c>
      <c r="B52" s="348" t="s">
        <v>2142</v>
      </c>
      <c r="C52" s="348" t="s">
        <v>2143</v>
      </c>
      <c r="D52" s="341" t="s">
        <v>2144</v>
      </c>
      <c r="E52" s="342" t="s">
        <v>2145</v>
      </c>
      <c r="F52" s="343">
        <v>45995</v>
      </c>
      <c r="G52" s="340" t="s">
        <v>2146</v>
      </c>
      <c r="H52" s="344" t="s">
        <v>2147</v>
      </c>
      <c r="I52" s="345" t="str">
        <f>HYPERLINK("https://drive.google.com/file/d/18T0FqYe6lncXvqxkUJvx1BFJpOXOVigk/view?usp=drivesdk","Data Structure")</f>
        <v xml:space="preserve">Data Structure</v>
      </c>
      <c r="J52" s="346" t="s">
        <v>2148</v>
      </c>
      <c r="K52" s="299"/>
      <c r="L52" s="190"/>
    </row>
    <row r="53" ht="25.5" customHeight="1">
      <c r="A53" s="65" t="s">
        <v>2091</v>
      </c>
      <c r="B53" s="348" t="s">
        <v>2149</v>
      </c>
      <c r="C53" s="348" t="s">
        <v>2150</v>
      </c>
      <c r="D53" s="341" t="s">
        <v>2151</v>
      </c>
      <c r="E53" s="342" t="s">
        <v>2152</v>
      </c>
      <c r="F53" s="343">
        <v>45995</v>
      </c>
      <c r="G53" s="340" t="s">
        <v>2153</v>
      </c>
      <c r="H53" s="344" t="s">
        <v>2154</v>
      </c>
      <c r="I53" s="345" t="str">
        <f>HYPERLINK("https://drive.google.com/file/d/19k-E9v5Jrsb20pvLzQSNDoVv6e7x3h6m/view?usp=drivesdk","Software Development")</f>
        <v xml:space="preserve">Software Development</v>
      </c>
      <c r="J53" s="346" t="s">
        <v>2148</v>
      </c>
      <c r="K53" s="299"/>
      <c r="L53" s="190"/>
    </row>
    <row r="54" ht="25.5" customHeight="1">
      <c r="A54" s="65" t="s">
        <v>2091</v>
      </c>
      <c r="B54" s="348" t="s">
        <v>2155</v>
      </c>
      <c r="C54" s="348" t="s">
        <v>2156</v>
      </c>
      <c r="D54" s="341" t="s">
        <v>2157</v>
      </c>
      <c r="E54" s="342" t="s">
        <v>2158</v>
      </c>
      <c r="F54" s="343">
        <v>45995</v>
      </c>
      <c r="G54" s="340" t="s">
        <v>2159</v>
      </c>
      <c r="H54" s="344" t="s">
        <v>2160</v>
      </c>
      <c r="I54" s="345" t="str">
        <f>HYPERLINK("https://drive.google.com/file/d/1rqgkTP1ClLNnWfcu4uAFP2Y9seT2kEwJ/view?usp=drivesdk","Computer Organization and architecture")</f>
        <v xml:space="preserve">Computer Organization and architecture</v>
      </c>
      <c r="J54" s="346" t="s">
        <v>2148</v>
      </c>
      <c r="K54" s="299"/>
      <c r="L54" s="190"/>
    </row>
    <row r="55" ht="25.5" customHeight="1">
      <c r="A55" s="65" t="s">
        <v>2091</v>
      </c>
      <c r="B55" s="348" t="s">
        <v>2161</v>
      </c>
      <c r="C55" s="348" t="s">
        <v>2162</v>
      </c>
      <c r="D55" s="341" t="s">
        <v>2163</v>
      </c>
      <c r="E55" s="342" t="s">
        <v>2164</v>
      </c>
      <c r="F55" s="343">
        <v>45995</v>
      </c>
      <c r="G55" s="340" t="s">
        <v>2165</v>
      </c>
      <c r="H55" s="344" t="s">
        <v>2166</v>
      </c>
      <c r="I55" s="345" t="str">
        <f>HYPERLINK("https://drive.google.com/file/d/1H9cKL37WldPoq-36iq3SRTvqOJLTiM_V/view?usp=drivesdk","Computer Graphics_Image Processing")</f>
        <v xml:space="preserve">Computer Graphics_Image Processing</v>
      </c>
      <c r="J55" s="346" t="s">
        <v>2148</v>
      </c>
      <c r="K55" s="299"/>
      <c r="L55" s="190"/>
    </row>
    <row r="56" ht="25.5" customHeight="1">
      <c r="A56" s="65" t="s">
        <v>2091</v>
      </c>
      <c r="B56" s="348" t="s">
        <v>2167</v>
      </c>
      <c r="C56" s="348" t="s">
        <v>2168</v>
      </c>
      <c r="D56" s="341" t="s">
        <v>2169</v>
      </c>
      <c r="E56" s="342" t="s">
        <v>2170</v>
      </c>
      <c r="F56" s="343">
        <v>45995</v>
      </c>
      <c r="G56" s="340" t="s">
        <v>2171</v>
      </c>
      <c r="H56" s="344" t="s">
        <v>2172</v>
      </c>
      <c r="I56" s="345" t="str">
        <f>HYPERLINK("https://drive.google.com/file/d/1C1-dTJ0VUcYOYhE27CrcUKeiWkhGKL-D/view?usp=drivesdk",".Net")</f>
        <v>.Net</v>
      </c>
      <c r="J56" s="346" t="s">
        <v>2148</v>
      </c>
      <c r="K56" s="299"/>
      <c r="L56" s="190"/>
    </row>
    <row r="57" ht="25.5" customHeight="1">
      <c r="A57" s="65" t="s">
        <v>2091</v>
      </c>
      <c r="B57" s="348" t="s">
        <v>2173</v>
      </c>
      <c r="C57" s="348" t="s">
        <v>2174</v>
      </c>
      <c r="D57" s="341" t="s">
        <v>2175</v>
      </c>
      <c r="E57" s="342" t="s">
        <v>2176</v>
      </c>
      <c r="F57" s="343">
        <v>45995</v>
      </c>
      <c r="G57" s="340" t="s">
        <v>2177</v>
      </c>
      <c r="H57" s="344" t="s">
        <v>2178</v>
      </c>
      <c r="I57" s="345" t="str">
        <f>HYPERLINK("https://drive.google.com/file/d/1tC0W3Sx1PJte_XzEYjBV8RHmqqh1Hee5/view?usp=drivesdk","Software testing and tools")</f>
        <v xml:space="preserve">Software testing and tools</v>
      </c>
      <c r="J57" s="346" t="s">
        <v>2148</v>
      </c>
      <c r="K57" s="299"/>
      <c r="L57" s="190"/>
    </row>
    <row r="58" ht="25.5" customHeight="1">
      <c r="A58" s="65" t="s">
        <v>2091</v>
      </c>
      <c r="B58" s="348" t="s">
        <v>2179</v>
      </c>
      <c r="C58" s="348" t="s">
        <v>2180</v>
      </c>
      <c r="D58" s="341" t="s">
        <v>2181</v>
      </c>
      <c r="E58" s="342" t="s">
        <v>2182</v>
      </c>
      <c r="F58" s="343">
        <v>45995</v>
      </c>
      <c r="G58" s="340" t="s">
        <v>2183</v>
      </c>
      <c r="H58" s="344" t="s">
        <v>2184</v>
      </c>
      <c r="I58" s="345" t="str">
        <f>HYPERLINK("https://drive.google.com/file/d/1s2BhvDN8iFn3YzpVIXdTcqpk8tRvYZ_B/view?usp=drivesdk","Data Mining")</f>
        <v xml:space="preserve">Data Mining</v>
      </c>
      <c r="J58" s="346" t="s">
        <v>2185</v>
      </c>
      <c r="K58" s="299"/>
      <c r="L58" s="190"/>
    </row>
    <row r="59" ht="25.5" customHeight="1">
      <c r="A59" s="65" t="s">
        <v>2091</v>
      </c>
      <c r="B59" s="348" t="s">
        <v>2186</v>
      </c>
      <c r="C59" s="348" t="s">
        <v>2187</v>
      </c>
      <c r="D59" s="341" t="s">
        <v>2188</v>
      </c>
      <c r="E59" s="342" t="s">
        <v>2189</v>
      </c>
      <c r="F59" s="343">
        <v>45995</v>
      </c>
      <c r="G59" s="340" t="s">
        <v>2190</v>
      </c>
      <c r="H59" s="344" t="s">
        <v>2191</v>
      </c>
      <c r="I59" s="345" t="str">
        <f>HYPERLINK("https://drive.google.com/file/d/1lkyZPF_qzHl7MHWTV1mkNX8furxsm3hw/view?usp=drivesdk","Android ")</f>
        <v xml:space="preserve">Android </v>
      </c>
      <c r="J59" s="346" t="s">
        <v>2185</v>
      </c>
      <c r="K59" s="299"/>
      <c r="L59" s="190"/>
    </row>
    <row r="60" ht="25.5" customHeight="1">
      <c r="A60" s="65" t="s">
        <v>2091</v>
      </c>
      <c r="B60" s="348" t="s">
        <v>2192</v>
      </c>
      <c r="C60" s="348" t="s">
        <v>2193</v>
      </c>
      <c r="D60" s="341" t="s">
        <v>2194</v>
      </c>
      <c r="E60" s="342" t="s">
        <v>2195</v>
      </c>
      <c r="F60" s="343">
        <v>45995</v>
      </c>
      <c r="G60" s="340" t="s">
        <v>2196</v>
      </c>
      <c r="H60" s="344" t="s">
        <v>2197</v>
      </c>
      <c r="I60" s="345" t="str">
        <f>HYPERLINK("https://drive.google.com/file/d/1AyRlrHhhdE9y1duvvkMmu1g1H_oDz-cm/view?usp=drivesdk","Network Security and Cryptography")</f>
        <v xml:space="preserve">Network Security and Cryptography</v>
      </c>
      <c r="J60" s="346" t="s">
        <v>2185</v>
      </c>
      <c r="K60" s="299"/>
      <c r="L60" s="190"/>
    </row>
    <row r="61" ht="25.5" customHeight="1">
      <c r="A61" s="65" t="s">
        <v>2091</v>
      </c>
      <c r="B61" s="348" t="s">
        <v>2198</v>
      </c>
      <c r="C61" s="348" t="s">
        <v>2199</v>
      </c>
      <c r="D61" s="341" t="s">
        <v>2200</v>
      </c>
      <c r="E61" s="342" t="s">
        <v>2201</v>
      </c>
      <c r="F61" s="343">
        <v>45995</v>
      </c>
      <c r="G61" s="340" t="s">
        <v>2202</v>
      </c>
      <c r="H61" s="344" t="s">
        <v>2203</v>
      </c>
      <c r="I61" s="345" t="str">
        <f>HYPERLINK("https://drive.google.com/file/d/1NR-gUHxEqexzW_Fz9i_xubzH1emaxSM0/view?usp=drivesdk","AI ")</f>
        <v xml:space="preserve">AI </v>
      </c>
      <c r="J61" s="346" t="s">
        <v>2185</v>
      </c>
      <c r="K61" s="299"/>
      <c r="L61" s="190"/>
    </row>
    <row r="62" ht="25.5" customHeight="1">
      <c r="A62" s="65" t="s">
        <v>2091</v>
      </c>
      <c r="B62" s="348" t="s">
        <v>2204</v>
      </c>
      <c r="C62" s="348" t="s">
        <v>2205</v>
      </c>
      <c r="D62" s="341" t="s">
        <v>2206</v>
      </c>
      <c r="E62" s="342" t="s">
        <v>2207</v>
      </c>
      <c r="F62" s="343">
        <v>45995</v>
      </c>
      <c r="G62" s="340" t="s">
        <v>2208</v>
      </c>
      <c r="H62" s="344" t="s">
        <v>2209</v>
      </c>
      <c r="I62" s="345" t="str">
        <f>HYPERLINK("https://drive.google.com/file/d/1sJA6vqsdHf491nKz3i8GZB8Pfp-pWgGK/view?usp=drivesdk","Basic Electronics")</f>
        <v xml:space="preserve">Basic Electronics</v>
      </c>
      <c r="J62" s="346" t="s">
        <v>2185</v>
      </c>
      <c r="K62" s="299"/>
      <c r="L62" s="190"/>
    </row>
    <row r="63" ht="25.5" customHeight="1">
      <c r="A63" s="65" t="s">
        <v>2091</v>
      </c>
      <c r="B63" s="348" t="s">
        <v>2210</v>
      </c>
      <c r="C63" s="348" t="s">
        <v>2205</v>
      </c>
      <c r="D63" s="341" t="s">
        <v>2211</v>
      </c>
      <c r="E63" s="342" t="s">
        <v>2212</v>
      </c>
      <c r="F63" s="343">
        <v>45995</v>
      </c>
      <c r="G63" s="340" t="s">
        <v>2213</v>
      </c>
      <c r="H63" s="344" t="s">
        <v>2214</v>
      </c>
      <c r="I63" s="345" t="str">
        <f>HYPERLINK("https://drive.google.com/file/d/132-48eNbflqKq261Vm1tMONDi8lxt6Ig/view?usp=drivesdk","E-Waste Managment")</f>
        <v xml:space="preserve">E-Waste Managment</v>
      </c>
      <c r="J63" s="346" t="s">
        <v>2185</v>
      </c>
      <c r="K63" s="299"/>
      <c r="L63" s="190"/>
    </row>
    <row r="64" ht="25.5" customHeight="1">
      <c r="A64" s="22" t="s">
        <v>2215</v>
      </c>
      <c r="B64" s="349" t="s">
        <v>2216</v>
      </c>
      <c r="C64" s="349" t="s">
        <v>2217</v>
      </c>
      <c r="D64" s="106" t="s">
        <v>2218</v>
      </c>
      <c r="E64" s="350" t="s">
        <v>2219</v>
      </c>
      <c r="F64" s="351">
        <v>46059</v>
      </c>
      <c r="G64" s="352" t="s">
        <v>2220</v>
      </c>
      <c r="H64" s="353" t="s">
        <v>2221</v>
      </c>
      <c r="I64" s="354" t="str">
        <f>HYPERLINK("https://drive.google.com/file/d/1j2Z0ZYSB6hjJyK_l3fAKM9qbOdF8D0lP/view?usp=drivesdk","Medicinal Biochemistry")</f>
        <v xml:space="preserve">Medicinal Biochemistry</v>
      </c>
      <c r="J64" s="355" t="s">
        <v>2222</v>
      </c>
      <c r="K64" s="299"/>
      <c r="L64" s="190"/>
    </row>
    <row r="65" ht="25.5" customHeight="1">
      <c r="A65" s="22" t="s">
        <v>2215</v>
      </c>
      <c r="B65" s="349" t="s">
        <v>2223</v>
      </c>
      <c r="C65" s="349" t="s">
        <v>2224</v>
      </c>
      <c r="D65" s="106" t="s">
        <v>2225</v>
      </c>
      <c r="E65" s="350" t="s">
        <v>2226</v>
      </c>
      <c r="F65" s="351">
        <v>46059</v>
      </c>
      <c r="G65" s="352" t="s">
        <v>2227</v>
      </c>
      <c r="H65" s="353" t="s">
        <v>2228</v>
      </c>
      <c r="I65" s="354" t="str">
        <f>HYPERLINK("https://drive.google.com/file/d/13adbFClpbTmYQqF9_Ae543_NUGZqEO2C/view?usp=drivesdk","Pharmaceutical Inorganic Chemistry")</f>
        <v xml:space="preserve">Pharmaceutical Inorganic Chemistry</v>
      </c>
      <c r="J65" s="355" t="s">
        <v>2222</v>
      </c>
      <c r="K65" s="299"/>
      <c r="L65" s="190"/>
    </row>
    <row r="66" ht="25.5" customHeight="1">
      <c r="A66" s="22" t="s">
        <v>2215</v>
      </c>
      <c r="B66" s="106" t="s">
        <v>2229</v>
      </c>
      <c r="C66" s="349" t="s">
        <v>2230</v>
      </c>
      <c r="D66" s="352" t="s">
        <v>2231</v>
      </c>
      <c r="E66" s="350" t="s">
        <v>2232</v>
      </c>
      <c r="F66" s="351">
        <v>46059</v>
      </c>
      <c r="G66" s="352" t="s">
        <v>2233</v>
      </c>
      <c r="H66" s="353" t="s">
        <v>2234</v>
      </c>
      <c r="I66" s="354" t="str">
        <f>HYPERLINK("https://drive.google.com/file/d/1hHZhOXHmbTxY4VnH5m-tbtr9ppyYoWID/view?usp=drivesdk","Pharmacognosy &amp; Phytopharmaceuticals")</f>
        <v xml:space="preserve">Pharmacognosy &amp; Phytopharmaceuticals</v>
      </c>
      <c r="J66" s="355" t="s">
        <v>2222</v>
      </c>
      <c r="K66" s="299"/>
      <c r="L66" s="190"/>
    </row>
    <row r="67" ht="25.5" customHeight="1">
      <c r="A67" s="22" t="s">
        <v>2215</v>
      </c>
      <c r="B67" s="106" t="s">
        <v>2235</v>
      </c>
      <c r="C67" s="349" t="s">
        <v>2236</v>
      </c>
      <c r="D67" s="352" t="s">
        <v>2237</v>
      </c>
      <c r="E67" s="350" t="s">
        <v>2238</v>
      </c>
      <c r="F67" s="351">
        <v>46059</v>
      </c>
      <c r="G67" s="352" t="s">
        <v>2239</v>
      </c>
      <c r="H67" s="353" t="s">
        <v>2240</v>
      </c>
      <c r="I67" s="354" t="str">
        <f>HYPERLINK("https://drive.google.com/file/d/1ZWl-kXSS_PdXItt-A3OgqC54YGP95erJ/view?usp=drivesdk","Pharmacology-II")</f>
        <v>Pharmacology-II</v>
      </c>
      <c r="J67" s="355" t="s">
        <v>2222</v>
      </c>
      <c r="K67" s="299"/>
      <c r="L67" s="190"/>
    </row>
    <row r="68" ht="25.5" customHeight="1">
      <c r="A68" s="22" t="s">
        <v>2215</v>
      </c>
      <c r="B68" s="106" t="s">
        <v>2241</v>
      </c>
      <c r="C68" s="349" t="s">
        <v>2242</v>
      </c>
      <c r="D68" s="352" t="s">
        <v>2243</v>
      </c>
      <c r="E68" s="350" t="s">
        <v>2244</v>
      </c>
      <c r="F68" s="351">
        <v>46059</v>
      </c>
      <c r="G68" s="352" t="s">
        <v>2245</v>
      </c>
      <c r="H68" s="353" t="s">
        <v>2246</v>
      </c>
      <c r="I68" s="354" t="str">
        <f>HYPERLINK("https://drive.google.com/file/d/1k8lhQtlm7Ly6p9LvluB03WzcsjgVXUQp/view?usp=drivesdk","Pharmaceutical Jurisprudence")</f>
        <v xml:space="preserve">Pharmaceutical Jurisprudence</v>
      </c>
      <c r="J68" s="355" t="s">
        <v>2247</v>
      </c>
      <c r="K68" s="299"/>
      <c r="L68" s="190"/>
    </row>
    <row r="69" ht="25.5" customHeight="1">
      <c r="A69" s="22" t="s">
        <v>2215</v>
      </c>
      <c r="B69" s="106" t="s">
        <v>2248</v>
      </c>
      <c r="C69" s="349" t="s">
        <v>2249</v>
      </c>
      <c r="D69" s="352" t="s">
        <v>2250</v>
      </c>
      <c r="E69" s="350" t="s">
        <v>2251</v>
      </c>
      <c r="F69" s="351">
        <v>46059</v>
      </c>
      <c r="G69" s="352" t="s">
        <v>2252</v>
      </c>
      <c r="H69" s="353" t="s">
        <v>2253</v>
      </c>
      <c r="I69" s="354" t="str">
        <f>HYPERLINK("https://drive.google.com/file/d/1GSsrNS8K2tRjKDZ5_OoHrB30n7lUh4QU/view?usp=drivesdk","Pharmaceutical Formulations")</f>
        <v xml:space="preserve">Pharmaceutical Formulations</v>
      </c>
      <c r="J69" s="355" t="s">
        <v>2247</v>
      </c>
      <c r="K69" s="299"/>
      <c r="L69" s="190"/>
    </row>
    <row r="70" ht="25.5" customHeight="1">
      <c r="A70" s="22" t="s">
        <v>2215</v>
      </c>
      <c r="B70" s="106" t="s">
        <v>2254</v>
      </c>
      <c r="C70" s="349" t="s">
        <v>2255</v>
      </c>
      <c r="D70" s="352" t="s">
        <v>2256</v>
      </c>
      <c r="E70" s="350" t="s">
        <v>2257</v>
      </c>
      <c r="F70" s="351">
        <v>46059</v>
      </c>
      <c r="G70" s="352" t="s">
        <v>2258</v>
      </c>
      <c r="H70" s="353" t="s">
        <v>2259</v>
      </c>
      <c r="I70" s="354" t="str">
        <f>HYPERLINK("https://drive.google.com/file/d/11xRvL5MiACTMK8JiYCgI82Y-w7Ivlj4G/view?usp=drivesdk","Pharmacotherapeutics-III")</f>
        <v>Pharmacotherapeutics-III</v>
      </c>
      <c r="J70" s="355" t="s">
        <v>2247</v>
      </c>
      <c r="K70" s="299"/>
      <c r="L70" s="190"/>
    </row>
    <row r="71" ht="25.5" customHeight="1">
      <c r="A71" s="22" t="s">
        <v>2215</v>
      </c>
      <c r="B71" s="106" t="s">
        <v>2260</v>
      </c>
      <c r="C71" s="349" t="s">
        <v>2261</v>
      </c>
      <c r="D71" s="352" t="s">
        <v>2262</v>
      </c>
      <c r="E71" s="350" t="s">
        <v>2263</v>
      </c>
      <c r="F71" s="351">
        <v>46059</v>
      </c>
      <c r="G71" s="352" t="s">
        <v>2264</v>
      </c>
      <c r="H71" s="353" t="s">
        <v>2265</v>
      </c>
      <c r="I71" s="354" t="str">
        <f>HYPERLINK("https://drive.google.com/file/d/1vpOb-PnWsTFK6b5mmA0As-QQN-Jk3x-Q/view?usp=drivesdk","Pharmaceutical Chemistry – Theory")</f>
        <v xml:space="preserve">Pharmaceutical Chemistry – Theory</v>
      </c>
      <c r="J71" s="355" t="s">
        <v>2247</v>
      </c>
      <c r="K71" s="299"/>
      <c r="L71" s="190"/>
    </row>
    <row r="72" ht="25.5" customHeight="1">
      <c r="A72" s="22" t="s">
        <v>2215</v>
      </c>
      <c r="B72" s="106" t="s">
        <v>2266</v>
      </c>
      <c r="C72" s="349" t="s">
        <v>2267</v>
      </c>
      <c r="D72" s="352" t="s">
        <v>2268</v>
      </c>
      <c r="E72" s="350" t="s">
        <v>2269</v>
      </c>
      <c r="F72" s="351">
        <v>46059</v>
      </c>
      <c r="G72" s="352" t="s">
        <v>2270</v>
      </c>
      <c r="H72" s="353" t="s">
        <v>2271</v>
      </c>
      <c r="I72" s="354" t="str">
        <f>HYPERLINK("https://drive.google.com/file/d/1DfqxEf9PVGyI89tShMKrKqtRH_zWUptL/view?usp=drivesdk","Pharmacognosy –Theory")</f>
        <v xml:space="preserve">Pharmacognosy –Theory</v>
      </c>
      <c r="J72" s="355" t="s">
        <v>2247</v>
      </c>
      <c r="K72" s="299"/>
      <c r="L72" s="190"/>
    </row>
    <row r="73" ht="25.5" customHeight="1">
      <c r="A73" s="22" t="s">
        <v>2215</v>
      </c>
      <c r="B73" s="106" t="s">
        <v>2272</v>
      </c>
      <c r="C73" s="349" t="s">
        <v>2273</v>
      </c>
      <c r="D73" s="352" t="s">
        <v>2274</v>
      </c>
      <c r="E73" s="350" t="s">
        <v>2275</v>
      </c>
      <c r="F73" s="351">
        <v>46059</v>
      </c>
      <c r="G73" s="352" t="s">
        <v>2276</v>
      </c>
      <c r="H73" s="353" t="s">
        <v>2277</v>
      </c>
      <c r="I73" s="354" t="str">
        <f>HYPERLINK("https://drive.google.com/file/d/1o_3N_JfZ7OPRbTICW7UlPuxYykzDN6rQ/view?usp=drivesdk","Human Anatomy &amp; Physiology –Theory")</f>
        <v xml:space="preserve">Human Anatomy &amp; Physiology –Theory</v>
      </c>
      <c r="J73" s="355" t="s">
        <v>2247</v>
      </c>
      <c r="K73" s="299"/>
      <c r="L73" s="190"/>
    </row>
    <row r="74" ht="25.5" customHeight="1">
      <c r="A74" s="22" t="s">
        <v>2215</v>
      </c>
      <c r="B74" s="106" t="s">
        <v>2278</v>
      </c>
      <c r="C74" s="349" t="s">
        <v>2279</v>
      </c>
      <c r="D74" s="352" t="s">
        <v>2280</v>
      </c>
      <c r="E74" s="350" t="s">
        <v>2281</v>
      </c>
      <c r="F74" s="351">
        <v>46059</v>
      </c>
      <c r="G74" s="352" t="s">
        <v>2282</v>
      </c>
      <c r="H74" s="353" t="s">
        <v>2283</v>
      </c>
      <c r="I74" s="354" t="str">
        <f>HYPERLINK("https://drive.google.com/file/d/1Evm3w6w5o9smxmcFxAWvYMy1rafKBJMH/view?usp=drivesdk","Social Pharmacy –Theory")</f>
        <v xml:space="preserve">Social Pharmacy –Theory</v>
      </c>
      <c r="J74" s="355" t="s">
        <v>2284</v>
      </c>
      <c r="K74" s="299"/>
      <c r="L74" s="190"/>
    </row>
    <row r="75" ht="25.5" customHeight="1">
      <c r="A75" s="22" t="s">
        <v>2215</v>
      </c>
      <c r="B75" s="106" t="s">
        <v>2285</v>
      </c>
      <c r="C75" s="349" t="s">
        <v>2286</v>
      </c>
      <c r="D75" s="352" t="s">
        <v>2287</v>
      </c>
      <c r="E75" s="350" t="s">
        <v>2288</v>
      </c>
      <c r="F75" s="351">
        <v>46059</v>
      </c>
      <c r="G75" s="352" t="s">
        <v>2289</v>
      </c>
      <c r="H75" s="353" t="s">
        <v>2290</v>
      </c>
      <c r="I75" s="354" t="str">
        <f>HYPERLINK("https://drive.google.com/file/d/1vMWfqni9tgrbrqrn_8pAx8fFK41IEded/view?usp=drivesdk","Biochemistry &amp; Clinical Pathology – Theory")</f>
        <v xml:space="preserve">Biochemistry &amp; Clinical Pathology – Theory</v>
      </c>
      <c r="J75" s="355" t="s">
        <v>2284</v>
      </c>
      <c r="K75" s="299"/>
      <c r="L75" s="190"/>
    </row>
    <row r="76" ht="25.5" customHeight="1">
      <c r="A76" s="22" t="s">
        <v>2215</v>
      </c>
      <c r="B76" s="106" t="s">
        <v>2241</v>
      </c>
      <c r="C76" s="349" t="s">
        <v>2242</v>
      </c>
      <c r="D76" s="352" t="s">
        <v>2291</v>
      </c>
      <c r="E76" s="350" t="s">
        <v>2292</v>
      </c>
      <c r="F76" s="351">
        <v>46059</v>
      </c>
      <c r="G76" s="352" t="s">
        <v>2293</v>
      </c>
      <c r="H76" s="353" t="s">
        <v>2294</v>
      </c>
      <c r="I76" s="354" t="str">
        <f>HYPERLINK("https://drive.google.com/file/d/1o-C4A8VsSGh5MzXQSn7mZs5kT-NuOyzV/view?usp=drivesdk","Pharmacy Law &amp; Ethics")</f>
        <v xml:space="preserve">Pharmacy Law &amp; Ethics</v>
      </c>
      <c r="J76" s="355" t="s">
        <v>2284</v>
      </c>
      <c r="K76" s="299"/>
      <c r="L76" s="190"/>
    </row>
    <row r="77" ht="25.5" customHeight="1">
      <c r="A77" s="356" t="s">
        <v>1326</v>
      </c>
      <c r="B77" s="106" t="s">
        <v>2295</v>
      </c>
      <c r="C77" s="349" t="s">
        <v>2296</v>
      </c>
      <c r="D77" s="352" t="s">
        <v>2297</v>
      </c>
      <c r="E77" s="350" t="s">
        <v>2298</v>
      </c>
      <c r="F77" s="351">
        <v>46139</v>
      </c>
      <c r="G77" s="352" t="s">
        <v>2299</v>
      </c>
      <c r="H77" s="353" t="s">
        <v>2300</v>
      </c>
      <c r="I77" s="354" t="str">
        <f>HYPERLINK("https://drive.google.com/file/d/1op3oCHRxQk6Qq4OQFk-s4cc34r2XwWjM/view?usp=drivesdk","Introduction Of Neuro Science")</f>
        <v xml:space="preserve">Introduction Of Neuro Science</v>
      </c>
      <c r="J77" s="355" t="s">
        <v>2301</v>
      </c>
      <c r="K77" s="299"/>
      <c r="L77" s="190"/>
    </row>
    <row r="78" ht="25.5" customHeight="1">
      <c r="A78" s="356" t="s">
        <v>1326</v>
      </c>
      <c r="B78" s="106" t="s">
        <v>2302</v>
      </c>
      <c r="C78" s="349" t="s">
        <v>2303</v>
      </c>
      <c r="D78" s="352" t="s">
        <v>2304</v>
      </c>
      <c r="E78" s="350" t="s">
        <v>2305</v>
      </c>
      <c r="F78" s="351">
        <v>46139</v>
      </c>
      <c r="G78" s="352" t="s">
        <v>2306</v>
      </c>
      <c r="H78" s="353" t="s">
        <v>2307</v>
      </c>
      <c r="I78" s="354" t="str">
        <f>HYPERLINK("https://drive.google.com/file/d/15uT99ac5cwq3r8P1sR-37QMaNl7JQjDT/view?usp=drivesdk","Infection control and plasmapheresis (T)")</f>
        <v xml:space="preserve">Infection control and plasmapheresis (T)</v>
      </c>
      <c r="J78" s="355" t="s">
        <v>2301</v>
      </c>
      <c r="K78" s="299"/>
      <c r="L78" s="190"/>
    </row>
    <row r="79" ht="25.5" customHeight="1">
      <c r="A79" s="356" t="s">
        <v>809</v>
      </c>
      <c r="B79" s="357" t="s">
        <v>2308</v>
      </c>
      <c r="C79" s="358" t="s">
        <v>2309</v>
      </c>
      <c r="D79" s="352" t="s">
        <v>2310</v>
      </c>
      <c r="E79" s="359" t="s">
        <v>2311</v>
      </c>
      <c r="F79" s="108">
        <v>46139</v>
      </c>
      <c r="G79" s="109" t="s">
        <v>2312</v>
      </c>
      <c r="H79" s="110" t="s">
        <v>2313</v>
      </c>
      <c r="I79" s="111" t="str">
        <f>HYPERLINK("https://drive.google.com/file/d/1XWw3XvrCS5xp6BNVsdYs9Hv5nS3gjwsh/view?usp=drivesdk","Pharmacotherapeutics-I")</f>
        <v>Pharmacotherapeutics-I</v>
      </c>
      <c r="J79" s="112" t="s">
        <v>2314</v>
      </c>
    </row>
    <row r="80" ht="25.5" customHeight="1">
      <c r="A80" s="360" t="s">
        <v>809</v>
      </c>
      <c r="B80" s="361" t="s">
        <v>2315</v>
      </c>
      <c r="C80" s="362" t="s">
        <v>2316</v>
      </c>
      <c r="D80" s="363" t="s">
        <v>2317</v>
      </c>
      <c r="E80" s="359" t="s">
        <v>2318</v>
      </c>
      <c r="F80" s="179">
        <v>46139</v>
      </c>
      <c r="G80" s="364" t="s">
        <v>2319</v>
      </c>
      <c r="H80" s="365" t="s">
        <v>2320</v>
      </c>
      <c r="I80" s="366" t="str">
        <f>HYPERLINK("https://drive.google.com/file/d/1-qQ5zDE4PXDsaqSM7wGv0wAUmdSnFlA8/view?usp=drivesdk","Pharmaceutical Analysis")</f>
        <v xml:space="preserve">Pharmaceutical Analysis</v>
      </c>
      <c r="J80" s="367" t="s">
        <v>2321</v>
      </c>
    </row>
    <row r="81" ht="25.5" customHeight="1">
      <c r="A81" s="368" t="s">
        <v>1619</v>
      </c>
      <c r="B81" s="196" t="s">
        <v>2322</v>
      </c>
      <c r="C81" s="196" t="s">
        <v>2323</v>
      </c>
      <c r="D81" s="230" t="s">
        <v>2324</v>
      </c>
      <c r="E81" s="194" t="s">
        <v>2325</v>
      </c>
      <c r="F81" s="195">
        <v>46139</v>
      </c>
      <c r="G81" s="196" t="s">
        <v>2326</v>
      </c>
      <c r="H81" s="197" t="s">
        <v>2327</v>
      </c>
      <c r="I81" s="197" t="s">
        <v>2324</v>
      </c>
      <c r="J81" s="198" t="s">
        <v>2328</v>
      </c>
      <c r="K81" s="190"/>
      <c r="L81" s="190"/>
    </row>
    <row r="82" ht="25.5" customHeight="1">
      <c r="A82" s="369" t="s">
        <v>1619</v>
      </c>
      <c r="B82" s="203" t="s">
        <v>2329</v>
      </c>
      <c r="C82" s="203" t="s">
        <v>2330</v>
      </c>
      <c r="D82" s="212" t="s">
        <v>2331</v>
      </c>
      <c r="E82" s="194" t="s">
        <v>2332</v>
      </c>
      <c r="F82" s="202">
        <v>46139</v>
      </c>
      <c r="G82" s="203" t="s">
        <v>2333</v>
      </c>
      <c r="H82" s="204" t="s">
        <v>2334</v>
      </c>
      <c r="I82" s="204" t="s">
        <v>2331</v>
      </c>
      <c r="J82" s="205" t="s">
        <v>2335</v>
      </c>
      <c r="K82" s="190"/>
      <c r="L82" s="190"/>
    </row>
    <row r="83" ht="25.5" customHeight="1">
      <c r="A83" s="369" t="s">
        <v>1619</v>
      </c>
      <c r="B83" s="203" t="s">
        <v>2336</v>
      </c>
      <c r="C83" s="203" t="s">
        <v>2337</v>
      </c>
      <c r="D83" s="212" t="s">
        <v>2338</v>
      </c>
      <c r="E83" s="194" t="s">
        <v>2339</v>
      </c>
      <c r="F83" s="202">
        <v>46139</v>
      </c>
      <c r="G83" s="203" t="s">
        <v>2340</v>
      </c>
      <c r="H83" s="204" t="s">
        <v>2341</v>
      </c>
      <c r="I83" s="204" t="s">
        <v>2338</v>
      </c>
      <c r="J83" s="205" t="s">
        <v>2342</v>
      </c>
      <c r="K83" s="190"/>
      <c r="L83" s="190"/>
    </row>
    <row r="84" ht="25.5" customHeight="1">
      <c r="A84" s="369" t="s">
        <v>1619</v>
      </c>
      <c r="B84" s="196" t="s">
        <v>2343</v>
      </c>
      <c r="C84" s="196" t="s">
        <v>2344</v>
      </c>
      <c r="D84" s="230" t="s">
        <v>2345</v>
      </c>
      <c r="E84" s="194" t="s">
        <v>2346</v>
      </c>
      <c r="F84" s="195">
        <v>46139</v>
      </c>
      <c r="G84" s="196" t="s">
        <v>2347</v>
      </c>
      <c r="H84" s="197" t="s">
        <v>2348</v>
      </c>
      <c r="I84" s="197" t="s">
        <v>2345</v>
      </c>
      <c r="J84" s="198" t="s">
        <v>2342</v>
      </c>
      <c r="K84" s="190"/>
      <c r="L84" s="190"/>
    </row>
    <row r="85" ht="25.5" customHeight="1">
      <c r="A85" s="208" t="s">
        <v>2349</v>
      </c>
      <c r="B85" s="203" t="s">
        <v>2350</v>
      </c>
      <c r="C85" s="203" t="s">
        <v>2351</v>
      </c>
      <c r="D85" s="212" t="s">
        <v>2352</v>
      </c>
      <c r="E85" s="194" t="s">
        <v>2353</v>
      </c>
      <c r="F85" s="202">
        <v>46139</v>
      </c>
      <c r="G85" s="203" t="s">
        <v>2354</v>
      </c>
      <c r="H85" s="204" t="s">
        <v>2355</v>
      </c>
      <c r="I85" s="204" t="s">
        <v>2352</v>
      </c>
      <c r="J85" s="205" t="s">
        <v>2356</v>
      </c>
      <c r="K85" s="190"/>
      <c r="L85" s="190"/>
    </row>
    <row r="86" ht="25.5" customHeight="1">
      <c r="A86" s="370" t="s">
        <v>2349</v>
      </c>
      <c r="B86" s="196" t="s">
        <v>2357</v>
      </c>
      <c r="C86" s="196" t="s">
        <v>2358</v>
      </c>
      <c r="D86" s="230" t="s">
        <v>2359</v>
      </c>
      <c r="E86" s="194" t="s">
        <v>2360</v>
      </c>
      <c r="F86" s="195">
        <v>46139</v>
      </c>
      <c r="G86" s="196" t="s">
        <v>2361</v>
      </c>
      <c r="H86" s="197" t="s">
        <v>2362</v>
      </c>
      <c r="I86" s="197" t="s">
        <v>2359</v>
      </c>
      <c r="J86" s="198" t="s">
        <v>2356</v>
      </c>
      <c r="K86" s="190"/>
      <c r="L86" s="190"/>
    </row>
    <row r="87" ht="25.5" customHeight="1">
      <c r="A87" s="370" t="s">
        <v>2349</v>
      </c>
      <c r="B87" s="203" t="s">
        <v>2363</v>
      </c>
      <c r="C87" s="203" t="s">
        <v>2364</v>
      </c>
      <c r="D87" s="212" t="s">
        <v>2365</v>
      </c>
      <c r="E87" s="194" t="s">
        <v>2366</v>
      </c>
      <c r="F87" s="202">
        <v>46139</v>
      </c>
      <c r="G87" s="203" t="s">
        <v>2367</v>
      </c>
      <c r="H87" s="204" t="s">
        <v>2368</v>
      </c>
      <c r="I87" s="204" t="s">
        <v>2365</v>
      </c>
      <c r="J87" s="205" t="s">
        <v>2356</v>
      </c>
      <c r="K87" s="190"/>
      <c r="L87" s="190"/>
    </row>
    <row r="88" ht="25.5" customHeight="1">
      <c r="A88" s="370" t="s">
        <v>2349</v>
      </c>
      <c r="B88" s="196" t="s">
        <v>2369</v>
      </c>
      <c r="C88" s="196" t="s">
        <v>2370</v>
      </c>
      <c r="D88" s="230" t="s">
        <v>2371</v>
      </c>
      <c r="E88" s="194" t="s">
        <v>2372</v>
      </c>
      <c r="F88" s="195">
        <v>46139</v>
      </c>
      <c r="G88" s="196" t="s">
        <v>2373</v>
      </c>
      <c r="H88" s="197" t="s">
        <v>2374</v>
      </c>
      <c r="I88" s="197" t="s">
        <v>2371</v>
      </c>
      <c r="J88" s="198" t="s">
        <v>2356</v>
      </c>
      <c r="K88" s="190"/>
      <c r="L88" s="190"/>
    </row>
    <row r="89" ht="25.5" customHeight="1">
      <c r="A89" s="370" t="s">
        <v>2349</v>
      </c>
      <c r="B89" s="203" t="s">
        <v>2375</v>
      </c>
      <c r="C89" s="203" t="s">
        <v>2376</v>
      </c>
      <c r="D89" s="212" t="s">
        <v>2377</v>
      </c>
      <c r="E89" s="194" t="s">
        <v>2378</v>
      </c>
      <c r="F89" s="202">
        <v>46139</v>
      </c>
      <c r="G89" s="203" t="s">
        <v>2379</v>
      </c>
      <c r="H89" s="204" t="s">
        <v>2380</v>
      </c>
      <c r="I89" s="204" t="s">
        <v>2377</v>
      </c>
      <c r="J89" s="205" t="s">
        <v>2356</v>
      </c>
      <c r="K89" s="190"/>
      <c r="L89" s="190"/>
    </row>
    <row r="90" ht="25.5" customHeight="1">
      <c r="A90" s="368" t="s">
        <v>2381</v>
      </c>
      <c r="B90" s="196" t="s">
        <v>2382</v>
      </c>
      <c r="C90" s="196" t="s">
        <v>2383</v>
      </c>
      <c r="D90" s="230" t="s">
        <v>2382</v>
      </c>
      <c r="E90" s="194" t="s">
        <v>2384</v>
      </c>
      <c r="F90" s="195">
        <v>46139</v>
      </c>
      <c r="G90" s="196" t="s">
        <v>2385</v>
      </c>
      <c r="H90" s="197" t="s">
        <v>2386</v>
      </c>
      <c r="I90" s="197" t="s">
        <v>2382</v>
      </c>
      <c r="J90" s="198" t="s">
        <v>2387</v>
      </c>
      <c r="K90" s="190"/>
      <c r="L90" s="190"/>
    </row>
    <row r="91" ht="25.5" customHeight="1">
      <c r="A91" s="369" t="s">
        <v>2381</v>
      </c>
      <c r="B91" s="196" t="s">
        <v>2388</v>
      </c>
      <c r="C91" s="196" t="s">
        <v>2389</v>
      </c>
      <c r="D91" s="230" t="s">
        <v>1628</v>
      </c>
      <c r="E91" s="194" t="s">
        <v>1662</v>
      </c>
      <c r="F91" s="195">
        <v>46139</v>
      </c>
      <c r="G91" s="196" t="s">
        <v>2390</v>
      </c>
      <c r="H91" s="197" t="s">
        <v>2391</v>
      </c>
      <c r="I91" s="197" t="s">
        <v>1628</v>
      </c>
      <c r="J91" s="198" t="s">
        <v>2392</v>
      </c>
      <c r="K91" s="190"/>
      <c r="L91" s="190"/>
    </row>
    <row r="92" ht="25.5" customHeight="1">
      <c r="A92" s="369" t="s">
        <v>2381</v>
      </c>
      <c r="B92" s="203" t="s">
        <v>2393</v>
      </c>
      <c r="C92" s="203" t="s">
        <v>2394</v>
      </c>
      <c r="D92" s="212" t="s">
        <v>2395</v>
      </c>
      <c r="E92" s="194" t="s">
        <v>2396</v>
      </c>
      <c r="F92" s="202">
        <v>46139</v>
      </c>
      <c r="G92" s="203" t="s">
        <v>2397</v>
      </c>
      <c r="H92" s="204" t="s">
        <v>2398</v>
      </c>
      <c r="I92" s="204" t="s">
        <v>2395</v>
      </c>
      <c r="J92" s="205" t="s">
        <v>2392</v>
      </c>
      <c r="K92" s="190"/>
      <c r="L92" s="190"/>
    </row>
    <row r="93" ht="25.5" customHeight="1">
      <c r="A93" s="369" t="s">
        <v>2381</v>
      </c>
      <c r="B93" s="203" t="s">
        <v>2399</v>
      </c>
      <c r="C93" s="203" t="s">
        <v>2400</v>
      </c>
      <c r="D93" s="212" t="s">
        <v>2401</v>
      </c>
      <c r="E93" s="194" t="s">
        <v>2402</v>
      </c>
      <c r="F93" s="202">
        <v>46139</v>
      </c>
      <c r="G93" s="203" t="s">
        <v>2403</v>
      </c>
      <c r="H93" s="204" t="s">
        <v>2404</v>
      </c>
      <c r="I93" s="204" t="s">
        <v>2401</v>
      </c>
      <c r="J93" s="205" t="s">
        <v>2392</v>
      </c>
      <c r="K93" s="190"/>
      <c r="L93" s="190"/>
    </row>
    <row r="94" ht="25.5" customHeight="1">
      <c r="A94" s="369" t="s">
        <v>2381</v>
      </c>
      <c r="B94" s="196" t="s">
        <v>2405</v>
      </c>
      <c r="C94" s="196" t="s">
        <v>2406</v>
      </c>
      <c r="D94" s="230" t="s">
        <v>2407</v>
      </c>
      <c r="E94" s="194" t="s">
        <v>2408</v>
      </c>
      <c r="F94" s="195">
        <v>46139</v>
      </c>
      <c r="G94" s="196" t="s">
        <v>2409</v>
      </c>
      <c r="H94" s="197" t="s">
        <v>2410</v>
      </c>
      <c r="I94" s="197" t="s">
        <v>2407</v>
      </c>
      <c r="J94" s="198" t="s">
        <v>2411</v>
      </c>
      <c r="K94" s="190"/>
      <c r="L94" s="190"/>
    </row>
    <row r="95" ht="25.5" customHeight="1">
      <c r="A95" s="369" t="s">
        <v>2381</v>
      </c>
      <c r="B95" s="289" t="s">
        <v>2412</v>
      </c>
      <c r="C95" s="289" t="s">
        <v>2413</v>
      </c>
      <c r="D95" s="229" t="s">
        <v>2414</v>
      </c>
      <c r="E95" s="194" t="s">
        <v>2415</v>
      </c>
      <c r="F95" s="371">
        <v>46139</v>
      </c>
      <c r="G95" s="289" t="s">
        <v>2416</v>
      </c>
      <c r="H95" s="290" t="s">
        <v>2417</v>
      </c>
      <c r="I95" s="290" t="s">
        <v>2414</v>
      </c>
      <c r="J95" s="291" t="s">
        <v>2411</v>
      </c>
      <c r="K95" s="190"/>
      <c r="L95" s="190"/>
    </row>
    <row r="96" ht="25.5" customHeight="1">
      <c r="A96" s="272" t="s">
        <v>2418</v>
      </c>
      <c r="B96" s="276" t="s">
        <v>2419</v>
      </c>
      <c r="C96" s="276" t="s">
        <v>2420</v>
      </c>
      <c r="D96" s="372" t="s">
        <v>2421</v>
      </c>
      <c r="E96" s="185" t="s">
        <v>1668</v>
      </c>
      <c r="F96" s="275">
        <v>46146</v>
      </c>
      <c r="G96" s="276" t="s">
        <v>2422</v>
      </c>
      <c r="H96" s="277" t="s">
        <v>2423</v>
      </c>
      <c r="I96" s="277" t="s">
        <v>2421</v>
      </c>
      <c r="J96" s="278" t="s">
        <v>2424</v>
      </c>
      <c r="K96" s="190"/>
      <c r="L96" s="190"/>
    </row>
    <row r="97" ht="25.5" customHeight="1">
      <c r="A97" s="373" t="s">
        <v>2418</v>
      </c>
      <c r="B97" s="203" t="s">
        <v>2425</v>
      </c>
      <c r="C97" s="203" t="s">
        <v>2426</v>
      </c>
      <c r="D97" s="212" t="s">
        <v>2427</v>
      </c>
      <c r="E97" s="194" t="s">
        <v>1674</v>
      </c>
      <c r="F97" s="281">
        <v>46146</v>
      </c>
      <c r="G97" s="203" t="s">
        <v>2428</v>
      </c>
      <c r="H97" s="204" t="s">
        <v>2429</v>
      </c>
      <c r="I97" s="204" t="s">
        <v>2427</v>
      </c>
      <c r="J97" s="205" t="s">
        <v>2424</v>
      </c>
      <c r="K97" s="190"/>
      <c r="L97" s="190"/>
    </row>
    <row r="98" ht="25.5" customHeight="1">
      <c r="A98" s="373" t="s">
        <v>2418</v>
      </c>
      <c r="B98" s="196" t="s">
        <v>2430</v>
      </c>
      <c r="C98" s="196" t="s">
        <v>2431</v>
      </c>
      <c r="D98" s="230" t="s">
        <v>2432</v>
      </c>
      <c r="E98" s="194" t="s">
        <v>1680</v>
      </c>
      <c r="F98" s="285">
        <v>46146</v>
      </c>
      <c r="G98" s="196" t="s">
        <v>2433</v>
      </c>
      <c r="H98" s="197" t="s">
        <v>2434</v>
      </c>
      <c r="I98" s="197" t="s">
        <v>2432</v>
      </c>
      <c r="J98" s="198" t="s">
        <v>2424</v>
      </c>
      <c r="K98" s="190"/>
      <c r="L98" s="190"/>
    </row>
    <row r="99" ht="25.5" customHeight="1">
      <c r="A99" s="373" t="s">
        <v>2418</v>
      </c>
      <c r="B99" s="289" t="s">
        <v>2425</v>
      </c>
      <c r="C99" s="289" t="s">
        <v>2435</v>
      </c>
      <c r="D99" s="229" t="s">
        <v>2427</v>
      </c>
      <c r="E99" s="194" t="s">
        <v>1685</v>
      </c>
      <c r="F99" s="288">
        <v>46146</v>
      </c>
      <c r="G99" s="289" t="s">
        <v>2436</v>
      </c>
      <c r="H99" s="290" t="s">
        <v>2437</v>
      </c>
      <c r="I99" s="290" t="s">
        <v>2427</v>
      </c>
      <c r="J99" s="291" t="s">
        <v>2438</v>
      </c>
      <c r="K99" s="190"/>
      <c r="L99" s="190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 tooltip=""/>
    <hyperlink r:id="rId80" ref="I81" tooltip=""/>
    <hyperlink r:id="rId81" ref="H82" tooltip=""/>
    <hyperlink r:id="rId81" ref="I82" tooltip=""/>
    <hyperlink r:id="rId82" ref="H83" tooltip=""/>
    <hyperlink r:id="rId82" ref="I83" tooltip=""/>
    <hyperlink r:id="rId83" ref="H84" tooltip=""/>
    <hyperlink r:id="rId83" ref="I84" tooltip=""/>
    <hyperlink r:id="rId84" ref="H85" tooltip=""/>
    <hyperlink r:id="rId84" ref="I85" tooltip=""/>
    <hyperlink r:id="rId85" ref="H86" tooltip=""/>
    <hyperlink r:id="rId85" ref="I86" tooltip=""/>
    <hyperlink r:id="rId86" ref="H87" tooltip=""/>
    <hyperlink r:id="rId86" ref="I87" tooltip=""/>
    <hyperlink r:id="rId87" ref="H88" tooltip=""/>
    <hyperlink r:id="rId87" ref="I88" tooltip=""/>
    <hyperlink r:id="rId88" ref="H89" tooltip=""/>
    <hyperlink r:id="rId88" ref="I89" tooltip=""/>
    <hyperlink r:id="rId89" ref="H90" tooltip=""/>
    <hyperlink r:id="rId89" ref="I90" tooltip=""/>
    <hyperlink r:id="rId90" ref="H91" tooltip=""/>
    <hyperlink r:id="rId90" ref="I91" tooltip=""/>
    <hyperlink r:id="rId91" ref="H92" tooltip=""/>
    <hyperlink r:id="rId91" ref="I92" tooltip=""/>
    <hyperlink r:id="rId92" ref="H93" tooltip=""/>
    <hyperlink r:id="rId92" ref="I93" tooltip=""/>
    <hyperlink r:id="rId93" ref="H94" tooltip=""/>
    <hyperlink r:id="rId93" ref="I94" tooltip=""/>
    <hyperlink r:id="rId94" ref="H95" tooltip=""/>
    <hyperlink r:id="rId94" ref="I95" tooltip=""/>
    <hyperlink r:id="rId95" ref="H96" tooltip=""/>
    <hyperlink r:id="rId95" ref="I96" tooltip=""/>
    <hyperlink r:id="rId96" ref="H97" tooltip=""/>
    <hyperlink r:id="rId96" ref="I97" tooltip=""/>
    <hyperlink r:id="rId97" ref="H98" tooltip=""/>
    <hyperlink r:id="rId97" ref="I98" tooltip=""/>
    <hyperlink r:id="rId98" ref="H99" tooltip=""/>
    <hyperlink r:id="rId98" ref="I99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4" zoomScale="100" workbookViewId="0">
      <selection activeCell="A1" activeCellId="0" sqref="A1"/>
    </sheetView>
  </sheetViews>
  <sheetFormatPr defaultRowHeight="25.5" customHeight="1"/>
  <cols>
    <col bestFit="1" min="1" max="1" width="16.140625"/>
    <col bestFit="1" min="2" max="2" width="30.57421875"/>
    <col bestFit="1" min="3" max="3" width="30.28125"/>
    <col bestFit="1" min="4" max="4" width="29.8515625"/>
    <col bestFit="1" min="7" max="7" width="17.36328125"/>
  </cols>
  <sheetData>
    <row r="1" ht="25.5" customHeight="1">
      <c r="A1" s="1" t="s">
        <v>0</v>
      </c>
      <c r="B1" s="2" t="s">
        <v>1827</v>
      </c>
      <c r="C1" s="2" t="s">
        <v>1828</v>
      </c>
      <c r="D1" s="2" t="s">
        <v>2439</v>
      </c>
      <c r="E1" s="2" t="s">
        <v>2</v>
      </c>
      <c r="F1" s="2" t="s">
        <v>3</v>
      </c>
      <c r="G1" s="2" t="s">
        <v>4</v>
      </c>
      <c r="H1" s="3" t="s">
        <v>2440</v>
      </c>
      <c r="I1" s="3" t="s">
        <v>2441</v>
      </c>
      <c r="J1" s="3" t="s">
        <v>2442</v>
      </c>
      <c r="K1" s="4" t="s">
        <v>2443</v>
      </c>
    </row>
    <row r="2" ht="25.5" customHeight="1">
      <c r="A2" s="43" t="s">
        <v>1847</v>
      </c>
      <c r="B2" s="374" t="s">
        <v>1879</v>
      </c>
      <c r="C2" s="374" t="s">
        <v>1855</v>
      </c>
      <c r="D2" s="374" t="s">
        <v>1939</v>
      </c>
      <c r="E2" s="375" t="s">
        <v>2444</v>
      </c>
      <c r="F2" s="376" t="s">
        <v>2445</v>
      </c>
      <c r="G2" s="377">
        <v>45986</v>
      </c>
      <c r="H2" s="374" t="s">
        <v>2446</v>
      </c>
      <c r="I2" s="378" t="s">
        <v>2447</v>
      </c>
      <c r="J2" s="379" t="str">
        <f>HYPERLINK("https://drive.google.com/file/d/1a-uOa9x9yXzP0J7iuLZMYddyYrHmxRr_/view?usp=drivesdk","Mr. Abhishek Singh-Mr. Aniket Paul-Rafi -Specialization - Cyber Security and Forensics - I")</f>
        <v xml:space="preserve">Mr. Abhishek Singh-Mr. Aniket Paul-Rafi -Specialization - Cyber Security and Forensics - I</v>
      </c>
      <c r="K2" s="380" t="s">
        <v>2448</v>
      </c>
    </row>
    <row r="3" ht="25.5" customHeight="1">
      <c r="A3" s="43" t="s">
        <v>1847</v>
      </c>
      <c r="B3" s="374" t="s">
        <v>2449</v>
      </c>
      <c r="C3" s="374" t="s">
        <v>2450</v>
      </c>
      <c r="D3" s="374" t="s">
        <v>2451</v>
      </c>
      <c r="E3" s="375" t="s">
        <v>2452</v>
      </c>
      <c r="F3" s="376" t="s">
        <v>2453</v>
      </c>
      <c r="G3" s="381">
        <v>45986</v>
      </c>
      <c r="H3" s="374" t="s">
        <v>2454</v>
      </c>
      <c r="I3" s="378" t="s">
        <v>2455</v>
      </c>
      <c r="J3" s="379" t="str">
        <f>HYPERLINK("https://drive.google.com/file/d/1rI8d6Poibl3WYDKH_BzLSCMMomf1ztqu/view?usp=drivesdk","Ms. Renuka Parmar-Mr. Gaurav Kumar-Ms. Priya Soni-Specialization - Full Stack Web Development - I")</f>
        <v xml:space="preserve">Ms. Renuka Parmar-Mr. Gaurav Kumar-Ms. Priya Soni-Specialization - Full Stack Web Development - I</v>
      </c>
      <c r="K3" s="380" t="s">
        <v>2448</v>
      </c>
    </row>
    <row r="4" ht="25.5" customHeight="1">
      <c r="A4" s="382" t="s">
        <v>153</v>
      </c>
      <c r="B4" s="27" t="s">
        <v>2456</v>
      </c>
      <c r="C4" s="27" t="s">
        <v>2457</v>
      </c>
      <c r="D4" s="27" t="s">
        <v>2458</v>
      </c>
      <c r="E4" s="313" t="s">
        <v>2459</v>
      </c>
      <c r="F4" s="314" t="s">
        <v>2460</v>
      </c>
      <c r="G4" s="383">
        <v>46000</v>
      </c>
      <c r="H4" s="27" t="s">
        <v>2461</v>
      </c>
      <c r="I4" s="28" t="s">
        <v>2462</v>
      </c>
      <c r="J4" s="29" t="str">
        <f>HYPERLINK("https://drive.google.com/file/d/1n16mhGgL5hDAtQ6qFzxI9NFNfQykOU-X/view?usp=drivesdk","Mr. Satish Chauhan-Mr. Meet Soni -Dr. Shubhrajyoti Kundu-Electrical and Electronics Engineering")</f>
        <v xml:space="preserve">Mr. Satish Chauhan-Mr. Meet Soni -Dr. Shubhrajyoti Kundu-Electrical and Electronics Engineering</v>
      </c>
      <c r="K4" s="30" t="s">
        <v>2463</v>
      </c>
    </row>
    <row r="5" ht="25.5" customHeight="1">
      <c r="A5" s="14" t="s">
        <v>153</v>
      </c>
      <c r="B5" s="27" t="s">
        <v>2464</v>
      </c>
      <c r="C5" s="27" t="s">
        <v>2465</v>
      </c>
      <c r="D5" s="27" t="s">
        <v>1980</v>
      </c>
      <c r="E5" s="313" t="s">
        <v>2466</v>
      </c>
      <c r="F5" s="314" t="s">
        <v>2467</v>
      </c>
      <c r="G5" s="383">
        <v>46049</v>
      </c>
      <c r="H5" s="27" t="s">
        <v>2468</v>
      </c>
      <c r="I5" s="28" t="s">
        <v>2469</v>
      </c>
      <c r="J5" s="29" t="str">
        <f>HYPERLINK("https://drive.google.com/file/d/1jPavbgFDMvDUXjvBkZi9V70kg1vXfd-Z/view?usp=drivesdk","Dr. Kartik Pandya-Mr. Mahit Jain-Mr. Nishith Shahu-Basic Electrical Engineering")</f>
        <v xml:space="preserve">Dr. Kartik Pandya-Mr. Mahit Jain-Mr. Nishith Shahu-Basic Electrical Engineering</v>
      </c>
      <c r="K5" s="30" t="s">
        <v>2463</v>
      </c>
    </row>
    <row r="6" ht="25.5" customHeight="1">
      <c r="A6" s="384" t="s">
        <v>153</v>
      </c>
      <c r="B6" s="313" t="s">
        <v>2470</v>
      </c>
      <c r="C6" s="27" t="s">
        <v>2471</v>
      </c>
      <c r="D6" s="27" t="s">
        <v>2472</v>
      </c>
      <c r="E6" s="313" t="s">
        <v>2473</v>
      </c>
      <c r="F6" s="314" t="s">
        <v>2474</v>
      </c>
      <c r="G6" s="383">
        <v>46112</v>
      </c>
      <c r="H6" s="27" t="s">
        <v>2475</v>
      </c>
      <c r="I6" s="28" t="s">
        <v>2476</v>
      </c>
      <c r="J6" s="29" t="str">
        <f>HYPERLINK("https://drive.google.com/file/d/1DeMyC0OPH72maWPEeiYaheKsHDVIaxVk/view?usp=drivesdk","Mr. Ankitsinh Zala- Ms. Divya Garg-Ms. Niti Shah-CVPDE")</f>
        <v xml:space="preserve">Mr. Ankitsinh Zala- Ms. Divya Garg-Ms. Niti Shah-CVPDE</v>
      </c>
      <c r="K6" s="30" t="s">
        <v>2463</v>
      </c>
    </row>
    <row r="7" ht="25.5" customHeight="1">
      <c r="A7" s="385" t="s">
        <v>231</v>
      </c>
      <c r="B7" s="386" t="s">
        <v>2477</v>
      </c>
      <c r="C7" s="39" t="s">
        <v>2478</v>
      </c>
      <c r="D7" s="39" t="s">
        <v>2479</v>
      </c>
      <c r="E7" s="319" t="s">
        <v>2480</v>
      </c>
      <c r="F7" s="320" t="s">
        <v>2481</v>
      </c>
      <c r="G7" s="38">
        <v>46045</v>
      </c>
      <c r="H7" s="39" t="s">
        <v>2482</v>
      </c>
      <c r="I7" s="40" t="s">
        <v>2483</v>
      </c>
      <c r="J7" s="41" t="str">
        <f>HYPERLINK("https://drive.google.com/file/d/1bR7N2h-ig_cWAOuLrsIQetSxxCKb-0lH/view?usp=drivesdk","Mr. Purvesh Valanad- Mr.  Mujahid Mirchiwala- Mr. Gaurav Sahu-PC-1 (D.C Circuit)")</f>
        <v xml:space="preserve">Mr. Purvesh Valanad- Mr.  Mujahid Mirchiwala- Mr. Gaurav Sahu-PC-1 (D.C Circuit)</v>
      </c>
      <c r="K7" s="42" t="s">
        <v>2484</v>
      </c>
    </row>
    <row r="8" ht="25.5" customHeight="1">
      <c r="A8" s="385" t="s">
        <v>231</v>
      </c>
      <c r="B8" s="35" t="s">
        <v>2485</v>
      </c>
      <c r="C8" s="39" t="s">
        <v>2486</v>
      </c>
      <c r="D8" s="39" t="s">
        <v>2487</v>
      </c>
      <c r="E8" s="319" t="s">
        <v>2488</v>
      </c>
      <c r="F8" s="320" t="s">
        <v>2489</v>
      </c>
      <c r="G8" s="38">
        <v>46045</v>
      </c>
      <c r="H8" s="39" t="s">
        <v>2490</v>
      </c>
      <c r="I8" s="40" t="s">
        <v>2491</v>
      </c>
      <c r="J8" s="41" t="str">
        <f>HYPERLINK("https://drive.google.com/file/d/1CUCNL_PHH9-S4BWwksdXE3P4KVcHkKVb/view?usp=drivesdk","Mr. Mayank Vyas-Mr.  Ankit Patel -Mr.  Nishant Hadiya-Introduction to Electrical Safety &amp; Management")</f>
        <v xml:space="preserve">Mr. Mayank Vyas-Mr.  Ankit Patel -Mr.  Nishant Hadiya-Introduction to Electrical Safety &amp; Management</v>
      </c>
      <c r="K8" s="42" t="s">
        <v>2492</v>
      </c>
    </row>
    <row r="9" ht="25.5" customHeight="1">
      <c r="A9" s="385" t="s">
        <v>231</v>
      </c>
      <c r="B9" s="36" t="s">
        <v>2493</v>
      </c>
      <c r="C9" s="39" t="s">
        <v>2494</v>
      </c>
      <c r="D9" s="39" t="s">
        <v>2043</v>
      </c>
      <c r="E9" s="319" t="s">
        <v>2495</v>
      </c>
      <c r="F9" s="320" t="s">
        <v>2496</v>
      </c>
      <c r="G9" s="38">
        <v>46045</v>
      </c>
      <c r="H9" s="39" t="s">
        <v>2497</v>
      </c>
      <c r="I9" s="40" t="s">
        <v>2498</v>
      </c>
      <c r="J9" s="41" t="str">
        <f>HYPERLINK("https://drive.google.com/file/d/1G8gCyX6grkmKZemfv_RVm6TE-UgCgDkk/view?usp=drivesdk","Ms. Hetal Prajapati- Mr. Pavez Vasovala -Mr. Apoorv Prajapati-Fundamental of Electrical Engineering")</f>
        <v xml:space="preserve">Ms. Hetal Prajapati- Mr. Pavez Vasovala -Mr. Apoorv Prajapati-Fundamental of Electrical Engineering</v>
      </c>
      <c r="K9" s="42" t="s">
        <v>2492</v>
      </c>
    </row>
    <row r="10" ht="25.5" customHeight="1">
      <c r="A10" s="387" t="s">
        <v>231</v>
      </c>
      <c r="B10" s="386" t="s">
        <v>2499</v>
      </c>
      <c r="C10" s="39" t="s">
        <v>2500</v>
      </c>
      <c r="D10" s="39" t="s">
        <v>2501</v>
      </c>
      <c r="E10" s="319" t="s">
        <v>2502</v>
      </c>
      <c r="F10" s="320" t="s">
        <v>2503</v>
      </c>
      <c r="G10" s="38">
        <v>46045</v>
      </c>
      <c r="H10" s="39" t="s">
        <v>2504</v>
      </c>
      <c r="I10" s="40" t="s">
        <v>2505</v>
      </c>
      <c r="J10" s="41" t="str">
        <f>HYPERLINK("https://drive.google.com/file/d/1VJv8AVyaWSRQT6z4W-aHMhL3PYvBc-oD/view?usp=drivesdk","Mr. Krunal Kayasth-Mr.Jayesh Mahant-Mr.Manthan Thakkar-Engineering Graphics ")</f>
        <v xml:space="preserve">Mr. Krunal Kayasth-Mr.Jayesh Mahant-Mr.Manthan Thakkar-Engineering Graphics </v>
      </c>
      <c r="K10" s="42" t="s">
        <v>2492</v>
      </c>
    </row>
    <row r="11" ht="25.5" customHeight="1">
      <c r="A11" s="387" t="s">
        <v>231</v>
      </c>
      <c r="B11" s="35" t="s">
        <v>2506</v>
      </c>
      <c r="C11" s="39" t="s">
        <v>2507</v>
      </c>
      <c r="D11" s="39" t="s">
        <v>2508</v>
      </c>
      <c r="E11" s="319" t="s">
        <v>2509</v>
      </c>
      <c r="F11" s="320" t="s">
        <v>2510</v>
      </c>
      <c r="G11" s="38">
        <v>46045</v>
      </c>
      <c r="H11" s="39" t="s">
        <v>2511</v>
      </c>
      <c r="I11" s="40" t="s">
        <v>2512</v>
      </c>
      <c r="J11" s="41" t="str">
        <f>HYPERLINK("https://drive.google.com/file/d/19EbhFU4xeVhKDZuDss6HbY45LQp6cTKE/view?usp=drivesdk","Ms. Bhumi Bhoi-Mr. Piyush Mali-Ms. Shreen Gazala-Internet Of Things")</f>
        <v xml:space="preserve">Ms. Bhumi Bhoi-Mr. Piyush Mali-Ms. Shreen Gazala-Internet Of Things</v>
      </c>
      <c r="K11" s="42" t="s">
        <v>2492</v>
      </c>
    </row>
    <row r="12" ht="25.5" customHeight="1">
      <c r="A12" s="387" t="s">
        <v>231</v>
      </c>
      <c r="B12" s="35" t="s">
        <v>2513</v>
      </c>
      <c r="C12" s="39" t="s">
        <v>2514</v>
      </c>
      <c r="D12" s="39" t="s">
        <v>2515</v>
      </c>
      <c r="E12" s="319" t="s">
        <v>2516</v>
      </c>
      <c r="F12" s="320" t="s">
        <v>2517</v>
      </c>
      <c r="G12" s="38">
        <v>46045</v>
      </c>
      <c r="H12" s="39" t="s">
        <v>2518</v>
      </c>
      <c r="I12" s="40" t="s">
        <v>2519</v>
      </c>
      <c r="J12" s="41" t="str">
        <f>HYPERLINK("https://drive.google.com/file/d/1KrDK0eUPAgRnA0dBA63dtPfOMqY7BgyZ/view?usp=drivesdk","Mr. Ashish Pandey-Ms. Prachi Patel-Mr. Ravi Bhardwaj-Information Security")</f>
        <v xml:space="preserve">Mr. Ashish Pandey-Ms. Prachi Patel-Mr. Ravi Bhardwaj-Information Security</v>
      </c>
      <c r="K12" s="42" t="s">
        <v>2492</v>
      </c>
    </row>
    <row r="13" ht="25.5" customHeight="1">
      <c r="A13" s="387" t="s">
        <v>231</v>
      </c>
      <c r="B13" s="36" t="s">
        <v>2520</v>
      </c>
      <c r="C13" s="35" t="s">
        <v>2521</v>
      </c>
      <c r="D13" s="39" t="s">
        <v>2522</v>
      </c>
      <c r="E13" s="319" t="s">
        <v>2523</v>
      </c>
      <c r="F13" s="320" t="s">
        <v>2524</v>
      </c>
      <c r="G13" s="38">
        <v>46045</v>
      </c>
      <c r="H13" s="39" t="s">
        <v>2525</v>
      </c>
      <c r="I13" s="40" t="s">
        <v>2526</v>
      </c>
      <c r="J13" s="41" t="str">
        <f>HYPERLINK("https://drive.google.com/file/d/1FgqU60t75_ag7Z53dxLp2NnBG1_MwSqP/view?usp=drivesdk","Mr. Kausal kalariya-Ms. Bipasha Mandal-Ms. Hemali Nimavat-operating system ")</f>
        <v xml:space="preserve">Mr. Kausal kalariya-Ms. Bipasha Mandal-Ms. Hemali Nimavat-operating system </v>
      </c>
      <c r="K13" s="42" t="s">
        <v>2492</v>
      </c>
    </row>
    <row r="14" ht="25.5" customHeight="1">
      <c r="A14" s="388" t="s">
        <v>231</v>
      </c>
      <c r="B14" s="389" t="s">
        <v>2527</v>
      </c>
      <c r="C14" s="36" t="s">
        <v>2528</v>
      </c>
      <c r="D14" s="319" t="s">
        <v>2529</v>
      </c>
      <c r="E14" s="319" t="s">
        <v>2530</v>
      </c>
      <c r="F14" s="320" t="s">
        <v>2531</v>
      </c>
      <c r="G14" s="38">
        <v>46045</v>
      </c>
      <c r="H14" s="39" t="s">
        <v>2532</v>
      </c>
      <c r="I14" s="40" t="s">
        <v>2533</v>
      </c>
      <c r="J14" s="41" t="str">
        <f>HYPERLINK("https://drive.google.com/file/d/1fbJEegb0HZbuGNXG7EDtpErMg_dIOHrx/view?usp=drivesdk","Ms. Mansi Rana-Ms. Kavita Parmar-Mr. Bankim Parmar-Object Oriented Programming with C++")</f>
        <v xml:space="preserve">Ms. Mansi Rana-Ms. Kavita Parmar-Mr. Bankim Parmar-Object Oriented Programming with C++</v>
      </c>
      <c r="K14" s="42" t="s">
        <v>2534</v>
      </c>
    </row>
    <row r="15" ht="25.5" customHeight="1">
      <c r="A15" s="5" t="s">
        <v>2091</v>
      </c>
      <c r="B15" s="347" t="s">
        <v>2535</v>
      </c>
      <c r="C15" s="347" t="s">
        <v>2536</v>
      </c>
      <c r="D15" s="347" t="s">
        <v>2537</v>
      </c>
      <c r="E15" s="340" t="s">
        <v>2538</v>
      </c>
      <c r="F15" s="342" t="s">
        <v>2539</v>
      </c>
      <c r="G15" s="390">
        <v>45995</v>
      </c>
      <c r="H15" s="391" t="s">
        <v>2540</v>
      </c>
      <c r="I15" s="392" t="s">
        <v>2541</v>
      </c>
      <c r="J15" s="393" t="str">
        <f>HYPERLINK("https://drive.google.com/file/d/1Ws3s5W7VEXtsUKLgVOWAuoc3GnLwF-zx/view?usp=drivesdk","Ms. DEVANSHI THAKKAR-Ms. AMITA TAILOR-Ms. SHILPA KHANT-Web Design and Development")</f>
        <v xml:space="preserve">Ms. DEVANSHI THAKKAR-Ms. AMITA TAILOR-Ms. SHILPA KHANT-Web Design and Development</v>
      </c>
      <c r="K15" s="394" t="s">
        <v>2542</v>
      </c>
    </row>
    <row r="16" ht="25.5" customHeight="1">
      <c r="A16" s="5" t="s">
        <v>2091</v>
      </c>
      <c r="B16" s="347" t="s">
        <v>2543</v>
      </c>
      <c r="C16" s="347" t="s">
        <v>2544</v>
      </c>
      <c r="D16" s="347" t="s">
        <v>2545</v>
      </c>
      <c r="E16" s="340" t="s">
        <v>2546</v>
      </c>
      <c r="F16" s="342" t="s">
        <v>2547</v>
      </c>
      <c r="G16" s="390">
        <v>45995</v>
      </c>
      <c r="H16" s="391" t="s">
        <v>2548</v>
      </c>
      <c r="I16" s="392" t="s">
        <v>2549</v>
      </c>
      <c r="J16" s="393" t="str">
        <f>HYPERLINK("https://drive.google.com/file/d/1EA3derEjWlT9vfMnCJzJX3Q-_hYUiaOY/view?usp=drivesdk","Ms. VAIBHAVI PANDYA-Ms. RIYA DESAI-Mr.HARDIK KUMAR-Data Structure ")</f>
        <v xml:space="preserve">Ms. VAIBHAVI PANDYA-Ms. RIYA DESAI-Mr.HARDIK KUMAR-Data Structure </v>
      </c>
      <c r="K16" s="394" t="s">
        <v>2542</v>
      </c>
    </row>
    <row r="17" ht="25.5" customHeight="1">
      <c r="A17" s="5" t="s">
        <v>2091</v>
      </c>
      <c r="B17" s="391" t="s">
        <v>2550</v>
      </c>
      <c r="C17" s="395" t="s">
        <v>2551</v>
      </c>
      <c r="D17" s="391" t="s">
        <v>2552</v>
      </c>
      <c r="E17" s="341" t="s">
        <v>2553</v>
      </c>
      <c r="F17" s="342" t="s">
        <v>2554</v>
      </c>
      <c r="G17" s="390">
        <v>45995</v>
      </c>
      <c r="H17" s="391" t="s">
        <v>2555</v>
      </c>
      <c r="I17" s="392" t="s">
        <v>2556</v>
      </c>
      <c r="J17" s="393" t="str">
        <f>HYPERLINK("https://drive.google.com/file/d/1hgvuw2wIiUg6VnB9OKISg3DhBcw7OgI9/view?usp=drivesdk","Ms. BHAVYA GAJIWALA-Ms. KAVYA PRAJAPATI-Ms. POONAM FALDU-Computer Network")</f>
        <v xml:space="preserve">Ms. BHAVYA GAJIWALA-Ms. KAVYA PRAJAPATI-Ms. POONAM FALDU-Computer Network</v>
      </c>
      <c r="K17" s="394" t="s">
        <v>2557</v>
      </c>
    </row>
    <row r="18" ht="25.5" customHeight="1">
      <c r="A18" s="5" t="s">
        <v>2091</v>
      </c>
      <c r="B18" s="391" t="s">
        <v>2558</v>
      </c>
      <c r="C18" s="395" t="s">
        <v>2559</v>
      </c>
      <c r="D18" s="391" t="s">
        <v>2560</v>
      </c>
      <c r="E18" s="341" t="s">
        <v>2561</v>
      </c>
      <c r="F18" s="342" t="s">
        <v>2562</v>
      </c>
      <c r="G18" s="390">
        <v>45995</v>
      </c>
      <c r="H18" s="391" t="s">
        <v>2563</v>
      </c>
      <c r="I18" s="392" t="s">
        <v>2564</v>
      </c>
      <c r="J18" s="393" t="str">
        <f>HYPERLINK("https://drive.google.com/file/d/159BT_GO9SchY3qO-sK9fZg4H87gfmKd8/view?usp=drivesdk","Ms. KALPANA PRAJAPATI-Ms. DEVIKA KSHTRIYA -Mr. VIJAY VASAIYA-.Net Programming with C# ")</f>
        <v xml:space="preserve">Ms. KALPANA PRAJAPATI-Ms. DEVIKA KSHTRIYA -Mr. VIJAY VASAIYA-.Net Programming with C# </v>
      </c>
      <c r="K18" s="394" t="s">
        <v>2557</v>
      </c>
    </row>
    <row r="19" ht="25.5" customHeight="1">
      <c r="A19" s="5" t="s">
        <v>2091</v>
      </c>
      <c r="B19" s="391" t="s">
        <v>2565</v>
      </c>
      <c r="C19" s="395" t="s">
        <v>2566</v>
      </c>
      <c r="D19" s="391" t="s">
        <v>2567</v>
      </c>
      <c r="E19" s="341" t="s">
        <v>741</v>
      </c>
      <c r="F19" s="342" t="s">
        <v>2568</v>
      </c>
      <c r="G19" s="390">
        <v>45995</v>
      </c>
      <c r="H19" s="391" t="s">
        <v>2569</v>
      </c>
      <c r="I19" s="392" t="s">
        <v>2570</v>
      </c>
      <c r="J19" s="393" t="str">
        <f>HYPERLINK("https://drive.google.com/file/d/1rXSdUT4GUYZNTp0vq7wUtTeIBlBSuTiH/view?usp=drivesdk","Ms. Vrunda patel-Mr. Ankit Padariya, -Mr. Suraj singh-Database Management System")</f>
        <v xml:space="preserve">Ms. Vrunda patel-Mr. Ankit Padariya, -Mr. Suraj singh-Database Management System</v>
      </c>
      <c r="K19" s="394" t="s">
        <v>2557</v>
      </c>
    </row>
    <row r="20" ht="25.5" customHeight="1">
      <c r="A20" s="5" t="s">
        <v>2091</v>
      </c>
      <c r="B20" s="391" t="s">
        <v>2571</v>
      </c>
      <c r="C20" s="395" t="s">
        <v>2572</v>
      </c>
      <c r="D20" s="391" t="s">
        <v>2573</v>
      </c>
      <c r="E20" s="341" t="s">
        <v>2574</v>
      </c>
      <c r="F20" s="342" t="s">
        <v>2575</v>
      </c>
      <c r="G20" s="390">
        <v>45995</v>
      </c>
      <c r="H20" s="391" t="s">
        <v>2576</v>
      </c>
      <c r="I20" s="392" t="s">
        <v>2577</v>
      </c>
      <c r="J20" s="393" t="str">
        <f>HYPERLINK("https://drive.google.com/file/d/1T8n7Xg44gpdLLBHQdBlAnBL9pCsC1hDr/view?usp=drivesdk","Ms. Radhika Thakkar-BK Soni-Ms. Bhavya shah-Java")</f>
        <v xml:space="preserve">Ms. Radhika Thakkar-BK Soni-Ms. Bhavya shah-Java</v>
      </c>
      <c r="K20" s="394" t="s">
        <v>2557</v>
      </c>
    </row>
    <row r="21" ht="25.5" customHeight="1">
      <c r="A21" s="5" t="s">
        <v>2091</v>
      </c>
      <c r="B21" s="391" t="s">
        <v>2578</v>
      </c>
      <c r="C21" s="396" t="s">
        <v>2579</v>
      </c>
      <c r="D21" s="340" t="s">
        <v>2580</v>
      </c>
      <c r="E21" s="341" t="s">
        <v>2581</v>
      </c>
      <c r="F21" s="342" t="s">
        <v>2582</v>
      </c>
      <c r="G21" s="390">
        <v>45995</v>
      </c>
      <c r="H21" s="391" t="s">
        <v>2583</v>
      </c>
      <c r="I21" s="392" t="s">
        <v>2584</v>
      </c>
      <c r="J21" s="393" t="str">
        <f>HYPERLINK("https://drive.google.com/file/d/1LJepmKp35DQCv8_zMRng1cGA4WlpdqmY/view?usp=drivesdk","Ms. Shivani Shelke-Ms. Shivani Gupta-Mr. Suraj Singh-Data Communication Network")</f>
        <v xml:space="preserve">Ms. Shivani Shelke-Ms. Shivani Gupta-Mr. Suraj Singh-Data Communication Network</v>
      </c>
      <c r="K21" s="394" t="s">
        <v>2557</v>
      </c>
    </row>
    <row r="22" ht="25.5" customHeight="1">
      <c r="A22" s="149" t="s">
        <v>2215</v>
      </c>
      <c r="B22" s="352" t="s">
        <v>2585</v>
      </c>
      <c r="C22" s="397" t="s">
        <v>2586</v>
      </c>
      <c r="D22" s="397" t="s">
        <v>2587</v>
      </c>
      <c r="E22" s="106" t="s">
        <v>2588</v>
      </c>
      <c r="F22" s="350" t="s">
        <v>2589</v>
      </c>
      <c r="G22" s="108">
        <v>46059</v>
      </c>
      <c r="H22" s="109" t="s">
        <v>2590</v>
      </c>
      <c r="I22" s="110" t="s">
        <v>2591</v>
      </c>
      <c r="J22" s="111" t="str">
        <f>HYPERLINK("https://drive.google.com/file/d/16qEIbqt9k8SYeiMrJ2rl8AYbgfK3MaUe/view?usp=drivesdk","Dr. Hiral Shah-Ms. Rachana S. Kumar- Mr. Harshrajsinh Rana-Pharmaceutics")</f>
        <v xml:space="preserve">Dr. Hiral Shah-Ms. Rachana S. Kumar- Mr. Harshrajsinh Rana-Pharmaceutics</v>
      </c>
      <c r="K22" s="112" t="s">
        <v>2592</v>
      </c>
    </row>
    <row r="23" ht="25.5" customHeight="1">
      <c r="A23" s="149" t="s">
        <v>2215</v>
      </c>
      <c r="B23" s="109" t="s">
        <v>2593</v>
      </c>
      <c r="C23" s="398" t="s">
        <v>2594</v>
      </c>
      <c r="D23" s="398" t="s">
        <v>2595</v>
      </c>
      <c r="E23" s="106" t="s">
        <v>2596</v>
      </c>
      <c r="F23" s="350" t="s">
        <v>2597</v>
      </c>
      <c r="G23" s="108">
        <v>46059</v>
      </c>
      <c r="H23" s="109" t="s">
        <v>2598</v>
      </c>
      <c r="I23" s="110" t="s">
        <v>2599</v>
      </c>
      <c r="J23" s="111" t="str">
        <f>HYPERLINK("https://drive.google.com/file/d/1ob18LxgMFgPdVwBxS5ujusyRVFmq-7L1/view?usp=drivesdk","Ms. Tora Shah-Ms. Bhargavi Mistry-Ms. Krutika Agarwal-Pharmaceutics –Theory")</f>
        <v xml:space="preserve">Ms. Tora Shah-Ms. Bhargavi Mistry-Ms. Krutika Agarwal-Pharmaceutics –Theory</v>
      </c>
      <c r="K23" s="112" t="s">
        <v>2592</v>
      </c>
    </row>
    <row r="24" ht="25.5" customHeight="1">
      <c r="A24" s="399" t="s">
        <v>2091</v>
      </c>
      <c r="B24" s="400" t="s">
        <v>2600</v>
      </c>
      <c r="C24" s="401" t="s">
        <v>2601</v>
      </c>
      <c r="D24" s="401" t="s">
        <v>2602</v>
      </c>
      <c r="E24" s="402" t="s">
        <v>2603</v>
      </c>
      <c r="F24" s="350" t="s">
        <v>2604</v>
      </c>
      <c r="G24" s="179">
        <v>46049</v>
      </c>
      <c r="H24" s="364" t="s">
        <v>2605</v>
      </c>
      <c r="I24" s="365" t="s">
        <v>2606</v>
      </c>
      <c r="J24" s="366" t="str">
        <f>HYPERLINK("https://drive.google.com/file/d/1lbETzF1tFEs_w8DSgGToTodeBlqUBv7e/view?usp=drivesdk","Mrs. Priyanka Patel-Mr. Priyank Makwana-Ms. Krishna Gohil-Mathematics - I")</f>
        <v xml:space="preserve">Mrs. Priyanka Patel-Mr. Priyank Makwana-Ms. Krishna Gohil-Mathematics - I</v>
      </c>
      <c r="K24" s="367" t="s">
        <v>2607</v>
      </c>
    </row>
    <row r="25" ht="25.5" customHeight="1">
      <c r="A25" s="403" t="s">
        <v>2608</v>
      </c>
      <c r="B25" s="404" t="s">
        <v>2609</v>
      </c>
      <c r="C25" s="404" t="s">
        <v>2610</v>
      </c>
      <c r="D25" s="405" t="s">
        <v>2611</v>
      </c>
      <c r="E25" s="372" t="s">
        <v>2612</v>
      </c>
      <c r="F25" s="406" t="s">
        <v>2613</v>
      </c>
      <c r="G25" s="407">
        <v>46139</v>
      </c>
      <c r="H25" s="276" t="s">
        <v>2614</v>
      </c>
      <c r="I25" s="277" t="s">
        <v>2615</v>
      </c>
      <c r="J25" s="277" t="s">
        <v>2616</v>
      </c>
      <c r="K25" s="278" t="s">
        <v>2617</v>
      </c>
      <c r="L25" s="190"/>
      <c r="M25" s="190"/>
    </row>
    <row r="26" ht="25.5" customHeight="1">
      <c r="A26" s="227" t="s">
        <v>231</v>
      </c>
      <c r="B26" s="203" t="s">
        <v>2618</v>
      </c>
      <c r="C26" s="203" t="s">
        <v>2619</v>
      </c>
      <c r="D26" s="408" t="s">
        <v>2620</v>
      </c>
      <c r="E26" s="212" t="s">
        <v>2621</v>
      </c>
      <c r="F26" s="194" t="s">
        <v>1595</v>
      </c>
      <c r="G26" s="202">
        <v>46139</v>
      </c>
      <c r="H26" s="203" t="s">
        <v>2622</v>
      </c>
      <c r="I26" s="204" t="s">
        <v>2623</v>
      </c>
      <c r="J26" s="204" t="s">
        <v>2624</v>
      </c>
      <c r="K26" s="205" t="s">
        <v>2625</v>
      </c>
      <c r="L26" s="190"/>
      <c r="M26" s="190"/>
    </row>
    <row r="27" ht="25.5" customHeight="1">
      <c r="A27" s="191" t="s">
        <v>1619</v>
      </c>
      <c r="B27" s="196" t="s">
        <v>2626</v>
      </c>
      <c r="C27" s="196" t="s">
        <v>2627</v>
      </c>
      <c r="D27" s="409" t="s">
        <v>2628</v>
      </c>
      <c r="E27" s="230" t="s">
        <v>2629</v>
      </c>
      <c r="F27" s="194" t="s">
        <v>2630</v>
      </c>
      <c r="G27" s="195">
        <v>46139</v>
      </c>
      <c r="H27" s="196" t="s">
        <v>2631</v>
      </c>
      <c r="I27" s="197" t="s">
        <v>2632</v>
      </c>
      <c r="J27" s="197" t="s">
        <v>2633</v>
      </c>
      <c r="K27" s="198" t="s">
        <v>2634</v>
      </c>
      <c r="L27" s="190"/>
      <c r="M27" s="190"/>
    </row>
    <row r="28" ht="25.5" customHeight="1">
      <c r="A28" s="410" t="s">
        <v>1619</v>
      </c>
      <c r="B28" s="203" t="s">
        <v>2635</v>
      </c>
      <c r="C28" s="203" t="s">
        <v>2636</v>
      </c>
      <c r="D28" s="408" t="s">
        <v>2637</v>
      </c>
      <c r="E28" s="212" t="s">
        <v>2638</v>
      </c>
      <c r="F28" s="194" t="s">
        <v>2639</v>
      </c>
      <c r="G28" s="202">
        <v>46139</v>
      </c>
      <c r="H28" s="203" t="s">
        <v>2640</v>
      </c>
      <c r="I28" s="204" t="s">
        <v>2641</v>
      </c>
      <c r="J28" s="204" t="s">
        <v>2642</v>
      </c>
      <c r="K28" s="205" t="s">
        <v>2634</v>
      </c>
      <c r="L28" s="190"/>
      <c r="M28" s="190"/>
    </row>
    <row r="29" ht="25.5" customHeight="1">
      <c r="A29" s="410" t="s">
        <v>1619</v>
      </c>
      <c r="B29" s="196" t="s">
        <v>2643</v>
      </c>
      <c r="C29" s="196" t="s">
        <v>2644</v>
      </c>
      <c r="D29" s="409" t="s">
        <v>2645</v>
      </c>
      <c r="E29" s="230" t="s">
        <v>2646</v>
      </c>
      <c r="F29" s="194" t="s">
        <v>2647</v>
      </c>
      <c r="G29" s="195">
        <v>46139</v>
      </c>
      <c r="H29" s="196" t="s">
        <v>2648</v>
      </c>
      <c r="I29" s="197" t="s">
        <v>2649</v>
      </c>
      <c r="J29" s="197" t="s">
        <v>2650</v>
      </c>
      <c r="K29" s="198" t="s">
        <v>2634</v>
      </c>
      <c r="L29" s="190"/>
      <c r="M29" s="190"/>
    </row>
    <row r="30" ht="25.5" customHeight="1">
      <c r="A30" s="410" t="s">
        <v>1619</v>
      </c>
      <c r="B30" s="203" t="s">
        <v>2651</v>
      </c>
      <c r="C30" s="203" t="s">
        <v>2652</v>
      </c>
      <c r="D30" s="408" t="s">
        <v>2653</v>
      </c>
      <c r="E30" s="212" t="s">
        <v>2654</v>
      </c>
      <c r="F30" s="194" t="s">
        <v>2655</v>
      </c>
      <c r="G30" s="202">
        <v>46139</v>
      </c>
      <c r="H30" s="203" t="s">
        <v>2656</v>
      </c>
      <c r="I30" s="204" t="s">
        <v>2657</v>
      </c>
      <c r="J30" s="204" t="s">
        <v>2658</v>
      </c>
      <c r="K30" s="205" t="s">
        <v>2328</v>
      </c>
      <c r="L30" s="190"/>
      <c r="M30" s="190"/>
    </row>
    <row r="31" ht="25.5" customHeight="1">
      <c r="A31" s="191" t="s">
        <v>2349</v>
      </c>
      <c r="B31" s="196" t="s">
        <v>2659</v>
      </c>
      <c r="C31" s="196" t="s">
        <v>2660</v>
      </c>
      <c r="D31" s="409" t="s">
        <v>2661</v>
      </c>
      <c r="E31" s="230" t="s">
        <v>2662</v>
      </c>
      <c r="F31" s="194" t="s">
        <v>2663</v>
      </c>
      <c r="G31" s="195">
        <v>46139</v>
      </c>
      <c r="H31" s="196" t="s">
        <v>2664</v>
      </c>
      <c r="I31" s="197" t="s">
        <v>2665</v>
      </c>
      <c r="J31" s="197" t="s">
        <v>2666</v>
      </c>
      <c r="K31" s="198" t="s">
        <v>2667</v>
      </c>
      <c r="L31" s="190"/>
      <c r="M31" s="190"/>
    </row>
    <row r="32" ht="25.5" customHeight="1">
      <c r="A32" s="227" t="s">
        <v>2668</v>
      </c>
      <c r="B32" s="203" t="s">
        <v>2669</v>
      </c>
      <c r="C32" s="203" t="s">
        <v>2670</v>
      </c>
      <c r="D32" s="408" t="s">
        <v>2671</v>
      </c>
      <c r="E32" s="212" t="s">
        <v>2672</v>
      </c>
      <c r="F32" s="194" t="s">
        <v>2673</v>
      </c>
      <c r="G32" s="202">
        <v>46139</v>
      </c>
      <c r="H32" s="203" t="s">
        <v>2674</v>
      </c>
      <c r="I32" s="204" t="s">
        <v>2675</v>
      </c>
      <c r="J32" s="204" t="s">
        <v>2676</v>
      </c>
      <c r="K32" s="205" t="s">
        <v>2677</v>
      </c>
      <c r="L32" s="190"/>
      <c r="M32" s="190"/>
    </row>
    <row r="33" ht="25.5" customHeight="1">
      <c r="A33" s="411" t="s">
        <v>2668</v>
      </c>
      <c r="B33" s="196" t="s">
        <v>2678</v>
      </c>
      <c r="C33" s="196" t="s">
        <v>2679</v>
      </c>
      <c r="D33" s="409" t="s">
        <v>2680</v>
      </c>
      <c r="E33" s="230" t="s">
        <v>2681</v>
      </c>
      <c r="F33" s="194" t="s">
        <v>2682</v>
      </c>
      <c r="G33" s="195">
        <v>46139</v>
      </c>
      <c r="H33" s="196" t="s">
        <v>2683</v>
      </c>
      <c r="I33" s="197" t="s">
        <v>2684</v>
      </c>
      <c r="J33" s="197" t="s">
        <v>2685</v>
      </c>
      <c r="K33" s="198" t="s">
        <v>2677</v>
      </c>
      <c r="L33" s="190"/>
      <c r="M33" s="190"/>
    </row>
    <row r="34" ht="25.5" customHeight="1">
      <c r="A34" s="411" t="s">
        <v>2668</v>
      </c>
      <c r="B34" s="203" t="s">
        <v>2686</v>
      </c>
      <c r="C34" s="203" t="s">
        <v>2687</v>
      </c>
      <c r="D34" s="408" t="s">
        <v>2688</v>
      </c>
      <c r="E34" s="212" t="s">
        <v>2689</v>
      </c>
      <c r="F34" s="194" t="s">
        <v>2690</v>
      </c>
      <c r="G34" s="202">
        <v>46139</v>
      </c>
      <c r="H34" s="203" t="s">
        <v>2691</v>
      </c>
      <c r="I34" s="204" t="s">
        <v>2692</v>
      </c>
      <c r="J34" s="204" t="s">
        <v>2693</v>
      </c>
      <c r="K34" s="205" t="s">
        <v>2677</v>
      </c>
      <c r="L34" s="190"/>
      <c r="M34" s="190"/>
    </row>
    <row r="35" ht="25.5" customHeight="1">
      <c r="A35" s="411" t="s">
        <v>2668</v>
      </c>
      <c r="B35" s="196" t="s">
        <v>2694</v>
      </c>
      <c r="C35" s="196" t="s">
        <v>2695</v>
      </c>
      <c r="D35" s="409" t="s">
        <v>2696</v>
      </c>
      <c r="E35" s="230" t="s">
        <v>2697</v>
      </c>
      <c r="F35" s="194" t="s">
        <v>2698</v>
      </c>
      <c r="G35" s="195">
        <v>46139</v>
      </c>
      <c r="H35" s="196" t="s">
        <v>2699</v>
      </c>
      <c r="I35" s="197" t="s">
        <v>2700</v>
      </c>
      <c r="J35" s="197" t="s">
        <v>2701</v>
      </c>
      <c r="K35" s="198" t="s">
        <v>2677</v>
      </c>
      <c r="L35" s="190"/>
      <c r="M35" s="190"/>
    </row>
    <row r="36" ht="25.5" customHeight="1">
      <c r="A36" s="411" t="s">
        <v>2668</v>
      </c>
      <c r="B36" s="203" t="s">
        <v>2702</v>
      </c>
      <c r="C36" s="203" t="s">
        <v>2703</v>
      </c>
      <c r="D36" s="408" t="s">
        <v>2704</v>
      </c>
      <c r="E36" s="212" t="s">
        <v>2705</v>
      </c>
      <c r="F36" s="194" t="s">
        <v>2706</v>
      </c>
      <c r="G36" s="202">
        <v>46139</v>
      </c>
      <c r="H36" s="203" t="s">
        <v>2707</v>
      </c>
      <c r="I36" s="204" t="s">
        <v>2708</v>
      </c>
      <c r="J36" s="204" t="s">
        <v>2709</v>
      </c>
      <c r="K36" s="205" t="s">
        <v>2677</v>
      </c>
      <c r="L36" s="190"/>
      <c r="M36" s="190"/>
    </row>
    <row r="37" ht="25.5" customHeight="1">
      <c r="A37" s="191" t="s">
        <v>1652</v>
      </c>
      <c r="B37" s="196" t="s">
        <v>2710</v>
      </c>
      <c r="C37" s="196" t="s">
        <v>2711</v>
      </c>
      <c r="D37" s="409" t="s">
        <v>2712</v>
      </c>
      <c r="E37" s="230" t="s">
        <v>2713</v>
      </c>
      <c r="F37" s="194" t="s">
        <v>2714</v>
      </c>
      <c r="G37" s="195">
        <v>46139</v>
      </c>
      <c r="H37" s="196" t="s">
        <v>2715</v>
      </c>
      <c r="I37" s="197" t="s">
        <v>2716</v>
      </c>
      <c r="J37" s="197" t="s">
        <v>2717</v>
      </c>
      <c r="K37" s="198" t="s">
        <v>2718</v>
      </c>
      <c r="L37" s="190"/>
      <c r="M37" s="190"/>
    </row>
    <row r="38" ht="25.5" customHeight="1">
      <c r="A38" s="410" t="s">
        <v>1652</v>
      </c>
      <c r="B38" s="203" t="s">
        <v>2719</v>
      </c>
      <c r="C38" s="203" t="s">
        <v>2720</v>
      </c>
      <c r="D38" s="408" t="s">
        <v>2721</v>
      </c>
      <c r="E38" s="212" t="s">
        <v>2722</v>
      </c>
      <c r="F38" s="194" t="s">
        <v>2723</v>
      </c>
      <c r="G38" s="202">
        <v>46139</v>
      </c>
      <c r="H38" s="203" t="s">
        <v>2724</v>
      </c>
      <c r="I38" s="204" t="s">
        <v>2725</v>
      </c>
      <c r="J38" s="204" t="s">
        <v>2726</v>
      </c>
      <c r="K38" s="205" t="s">
        <v>2718</v>
      </c>
      <c r="L38" s="190"/>
      <c r="M38" s="190"/>
    </row>
    <row r="39" ht="25.5" customHeight="1">
      <c r="A39" s="410" t="s">
        <v>1652</v>
      </c>
      <c r="B39" s="196" t="s">
        <v>2727</v>
      </c>
      <c r="C39" s="196" t="s">
        <v>2728</v>
      </c>
      <c r="D39" s="196" t="s">
        <v>2729</v>
      </c>
      <c r="E39" s="230" t="s">
        <v>2730</v>
      </c>
      <c r="F39" s="412" t="s">
        <v>2731</v>
      </c>
      <c r="G39" s="413">
        <v>46139</v>
      </c>
      <c r="H39" s="196" t="s">
        <v>2732</v>
      </c>
      <c r="I39" s="197" t="s">
        <v>2733</v>
      </c>
      <c r="J39" s="197" t="s">
        <v>2734</v>
      </c>
      <c r="K39" s="198" t="s">
        <v>2735</v>
      </c>
      <c r="L39" s="190"/>
      <c r="M39" s="190"/>
    </row>
    <row r="40" ht="25.5" customHeight="1">
      <c r="A40" s="227" t="s">
        <v>153</v>
      </c>
      <c r="B40" s="203" t="s">
        <v>2736</v>
      </c>
      <c r="C40" s="203" t="s">
        <v>2737</v>
      </c>
      <c r="D40" s="203" t="s">
        <v>2738</v>
      </c>
      <c r="E40" s="212" t="s">
        <v>2739</v>
      </c>
      <c r="F40" s="194" t="s">
        <v>1668</v>
      </c>
      <c r="G40" s="414">
        <v>46139</v>
      </c>
      <c r="H40" s="203" t="s">
        <v>2740</v>
      </c>
      <c r="I40" s="204" t="s">
        <v>2741</v>
      </c>
      <c r="J40" s="204" t="s">
        <v>2742</v>
      </c>
      <c r="K40" s="205" t="s">
        <v>2743</v>
      </c>
      <c r="L40" s="190"/>
      <c r="M40" s="190"/>
    </row>
    <row r="41" ht="25.5" customHeight="1">
      <c r="A41" s="411" t="s">
        <v>153</v>
      </c>
      <c r="B41" s="196" t="s">
        <v>2744</v>
      </c>
      <c r="C41" s="196" t="s">
        <v>2745</v>
      </c>
      <c r="D41" s="196" t="s">
        <v>2746</v>
      </c>
      <c r="E41" s="230" t="s">
        <v>2747</v>
      </c>
      <c r="F41" s="194" t="s">
        <v>1674</v>
      </c>
      <c r="G41" s="413">
        <v>46139</v>
      </c>
      <c r="H41" s="196" t="s">
        <v>2748</v>
      </c>
      <c r="I41" s="197" t="s">
        <v>2749</v>
      </c>
      <c r="J41" s="197" t="s">
        <v>2750</v>
      </c>
      <c r="K41" s="198" t="s">
        <v>2751</v>
      </c>
      <c r="L41" s="190"/>
      <c r="M41" s="190"/>
    </row>
    <row r="42" ht="25.5" customHeight="1">
      <c r="A42" s="415" t="s">
        <v>153</v>
      </c>
      <c r="B42" s="203" t="s">
        <v>2752</v>
      </c>
      <c r="C42" s="203" t="s">
        <v>2753</v>
      </c>
      <c r="D42" s="203" t="s">
        <v>2754</v>
      </c>
      <c r="E42" s="212" t="s">
        <v>2755</v>
      </c>
      <c r="F42" s="194" t="s">
        <v>1680</v>
      </c>
      <c r="G42" s="414">
        <v>46139</v>
      </c>
      <c r="H42" s="203" t="s">
        <v>2756</v>
      </c>
      <c r="I42" s="204" t="s">
        <v>2757</v>
      </c>
      <c r="J42" s="204" t="s">
        <v>2758</v>
      </c>
      <c r="K42" s="205" t="s">
        <v>2751</v>
      </c>
      <c r="L42" s="190"/>
      <c r="M42" s="190"/>
    </row>
    <row r="43" ht="25.5" customHeight="1">
      <c r="A43" s="227" t="s">
        <v>153</v>
      </c>
      <c r="B43" s="416" t="s">
        <v>2759</v>
      </c>
      <c r="C43" s="276" t="s">
        <v>2744</v>
      </c>
      <c r="D43" s="276" t="s">
        <v>2760</v>
      </c>
      <c r="E43" s="372" t="s">
        <v>2761</v>
      </c>
      <c r="F43" s="185" t="s">
        <v>1685</v>
      </c>
      <c r="G43" s="417">
        <v>46139</v>
      </c>
      <c r="H43" s="276" t="s">
        <v>2762</v>
      </c>
      <c r="I43" s="277" t="s">
        <v>2763</v>
      </c>
      <c r="J43" s="277" t="s">
        <v>2764</v>
      </c>
      <c r="K43" s="278" t="s">
        <v>2751</v>
      </c>
      <c r="L43" s="190"/>
      <c r="M43" s="190"/>
    </row>
    <row r="44" ht="25.5" customHeight="1">
      <c r="A44" s="418" t="s">
        <v>2765</v>
      </c>
      <c r="B44" s="203" t="s">
        <v>2766</v>
      </c>
      <c r="C44" s="203" t="s">
        <v>2767</v>
      </c>
      <c r="D44" s="203" t="s">
        <v>2768</v>
      </c>
      <c r="E44" s="212" t="s">
        <v>2769</v>
      </c>
      <c r="F44" s="194" t="s">
        <v>1691</v>
      </c>
      <c r="G44" s="419">
        <v>46139</v>
      </c>
      <c r="H44" s="203" t="s">
        <v>2770</v>
      </c>
      <c r="I44" s="204" t="s">
        <v>2771</v>
      </c>
      <c r="J44" s="204" t="s">
        <v>2772</v>
      </c>
      <c r="K44" s="205" t="s">
        <v>2773</v>
      </c>
      <c r="L44" s="190"/>
      <c r="M44" s="190"/>
    </row>
    <row r="45" ht="25.5" customHeight="1">
      <c r="A45" s="420" t="s">
        <v>2765</v>
      </c>
      <c r="B45" s="196" t="s">
        <v>2774</v>
      </c>
      <c r="C45" s="196" t="s">
        <v>2775</v>
      </c>
      <c r="D45" s="196" t="s">
        <v>2776</v>
      </c>
      <c r="E45" s="230" t="s">
        <v>2777</v>
      </c>
      <c r="F45" s="194" t="s">
        <v>1697</v>
      </c>
      <c r="G45" s="421">
        <v>46139</v>
      </c>
      <c r="H45" s="196" t="s">
        <v>2778</v>
      </c>
      <c r="I45" s="197" t="s">
        <v>2779</v>
      </c>
      <c r="J45" s="197" t="s">
        <v>2780</v>
      </c>
      <c r="K45" s="198" t="s">
        <v>2773</v>
      </c>
      <c r="L45" s="190"/>
      <c r="M45" s="190"/>
    </row>
    <row r="46" ht="25.5" customHeight="1">
      <c r="A46" s="420" t="s">
        <v>2765</v>
      </c>
      <c r="B46" s="203" t="s">
        <v>2781</v>
      </c>
      <c r="C46" s="203" t="s">
        <v>2782</v>
      </c>
      <c r="D46" s="203" t="s">
        <v>2783</v>
      </c>
      <c r="E46" s="212" t="s">
        <v>2784</v>
      </c>
      <c r="F46" s="194" t="s">
        <v>1702</v>
      </c>
      <c r="G46" s="419">
        <v>46139</v>
      </c>
      <c r="H46" s="203" t="s">
        <v>2785</v>
      </c>
      <c r="I46" s="204" t="s">
        <v>2786</v>
      </c>
      <c r="J46" s="204" t="s">
        <v>2787</v>
      </c>
      <c r="K46" s="205" t="s">
        <v>2773</v>
      </c>
      <c r="L46" s="190"/>
      <c r="M46" s="190"/>
    </row>
    <row r="47" ht="25.5" customHeight="1">
      <c r="A47" s="422" t="s">
        <v>2788</v>
      </c>
      <c r="B47" s="423" t="s">
        <v>2789</v>
      </c>
      <c r="C47" s="423" t="s">
        <v>2790</v>
      </c>
      <c r="D47" s="244" t="s">
        <v>2791</v>
      </c>
      <c r="E47" s="424" t="s">
        <v>2792</v>
      </c>
      <c r="F47" s="194" t="s">
        <v>1708</v>
      </c>
      <c r="G47" s="425">
        <v>46148</v>
      </c>
      <c r="H47" s="244" t="s">
        <v>2793</v>
      </c>
      <c r="I47" s="245" t="s">
        <v>2794</v>
      </c>
      <c r="J47" s="245" t="s">
        <v>2795</v>
      </c>
      <c r="K47" s="246" t="s">
        <v>2796</v>
      </c>
      <c r="L47" s="190"/>
      <c r="M47" s="190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 tooltip=""/>
    <hyperlink r:id="rId24" ref="J25" tooltip=""/>
    <hyperlink r:id="rId25" ref="I26" tooltip=""/>
    <hyperlink r:id="rId25" ref="J26" tooltip=""/>
    <hyperlink r:id="rId26" ref="I27" tooltip=""/>
    <hyperlink r:id="rId26" ref="J27" tooltip=""/>
    <hyperlink r:id="rId27" ref="I28" tooltip=""/>
    <hyperlink r:id="rId27" ref="J28" tooltip=""/>
    <hyperlink r:id="rId28" ref="I29" tooltip=""/>
    <hyperlink r:id="rId28" ref="J29" tooltip=""/>
    <hyperlink r:id="rId29" ref="I30" tooltip=""/>
    <hyperlink r:id="rId29" ref="J30" tooltip=""/>
    <hyperlink r:id="rId30" ref="I31" tooltip=""/>
    <hyperlink r:id="rId30" ref="J31" tooltip=""/>
    <hyperlink r:id="rId31" ref="I32" tooltip=""/>
    <hyperlink r:id="rId31" ref="J32" tooltip=""/>
    <hyperlink r:id="rId32" ref="I33" tooltip=""/>
    <hyperlink r:id="rId32" ref="J33" tooltip=""/>
    <hyperlink r:id="rId33" ref="I34" tooltip=""/>
    <hyperlink r:id="rId33" ref="J34" tooltip=""/>
    <hyperlink r:id="rId34" ref="I35" tooltip=""/>
    <hyperlink r:id="rId34" ref="J35" tooltip=""/>
    <hyperlink r:id="rId35" ref="I36" tooltip=""/>
    <hyperlink r:id="rId35" ref="J36" tooltip=""/>
    <hyperlink r:id="rId36" ref="I37" tooltip=""/>
    <hyperlink r:id="rId36" ref="J37" tooltip=""/>
    <hyperlink r:id="rId37" ref="I38" tooltip=""/>
    <hyperlink r:id="rId37" ref="J38" tooltip=""/>
    <hyperlink r:id="rId38" ref="I39" tooltip=""/>
    <hyperlink r:id="rId38" ref="J39" tooltip=""/>
    <hyperlink r:id="rId39" ref="I40" tooltip=""/>
    <hyperlink r:id="rId39" ref="J40" tooltip=""/>
    <hyperlink r:id="rId40" ref="I41" tooltip=""/>
    <hyperlink r:id="rId40" ref="J41" tooltip=""/>
    <hyperlink r:id="rId41" ref="I42" tooltip=""/>
    <hyperlink r:id="rId41" ref="J42" tooltip=""/>
    <hyperlink r:id="rId42" ref="I43" tooltip=""/>
    <hyperlink r:id="rId42" ref="J43" tooltip=""/>
    <hyperlink r:id="rId43" ref="I44" tooltip=""/>
    <hyperlink r:id="rId43" ref="J44" tooltip=""/>
    <hyperlink r:id="rId44" ref="I45" tooltip=""/>
    <hyperlink r:id="rId44" ref="J45" tooltip=""/>
    <hyperlink r:id="rId45" ref="I46" tooltip=""/>
    <hyperlink r:id="rId45" ref="J46" tooltip=""/>
    <hyperlink r:id="rId46" ref="I47" tooltip=""/>
    <hyperlink r:id="rId46" ref="J47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426" t="s">
        <v>2797</v>
      </c>
      <c r="B1" s="426" t="s">
        <v>2798</v>
      </c>
    </row>
    <row r="2">
      <c r="A2" s="427" t="s">
        <v>2799</v>
      </c>
      <c r="B2" s="427" t="s">
        <v>2800</v>
      </c>
    </row>
    <row r="3">
      <c r="A3" s="427" t="s">
        <v>2801</v>
      </c>
      <c r="B3" s="427" t="s">
        <v>2802</v>
      </c>
    </row>
    <row r="4">
      <c r="A4" s="427" t="s">
        <v>2803</v>
      </c>
      <c r="B4" s="427" t="s">
        <v>2804</v>
      </c>
    </row>
    <row r="5">
      <c r="A5" s="427" t="s">
        <v>2805</v>
      </c>
      <c r="B5" s="427" t="s">
        <v>2806</v>
      </c>
    </row>
    <row r="6">
      <c r="A6" s="427" t="s">
        <v>2807</v>
      </c>
      <c r="B6" s="427" t="s">
        <v>2802</v>
      </c>
    </row>
    <row r="7">
      <c r="A7" s="427" t="s">
        <v>2808</v>
      </c>
      <c r="B7" s="427" t="s">
        <v>2809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sheetData>
    <row r="1">
      <c r="A1" s="427" t="s">
        <v>2810</v>
      </c>
      <c r="B1" s="427" t="s">
        <v>2811</v>
      </c>
      <c r="C1" s="427" t="s">
        <v>2812</v>
      </c>
      <c r="D1" s="427" t="s">
        <v>2813</v>
      </c>
      <c r="E1" s="427" t="s">
        <v>2814</v>
      </c>
      <c r="F1" s="427" t="s">
        <v>2815</v>
      </c>
      <c r="G1" s="427" t="s">
        <v>2816</v>
      </c>
      <c r="H1" s="427" t="s">
        <v>2817</v>
      </c>
      <c r="I1" s="427" t="s">
        <v>2818</v>
      </c>
      <c r="J1" s="427" t="s">
        <v>2819</v>
      </c>
      <c r="K1" s="427" t="s">
        <v>2820</v>
      </c>
      <c r="L1" s="427" t="s">
        <v>2821</v>
      </c>
      <c r="M1" s="427" t="s">
        <v>2822</v>
      </c>
      <c r="N1" s="427" t="s">
        <v>2823</v>
      </c>
      <c r="O1" s="427" t="s">
        <v>2824</v>
      </c>
      <c r="P1" s="427" t="s">
        <v>2825</v>
      </c>
      <c r="Q1" s="427" t="s">
        <v>2826</v>
      </c>
      <c r="R1" s="427" t="s">
        <v>2827</v>
      </c>
      <c r="S1" s="427" t="s">
        <v>2828</v>
      </c>
      <c r="T1" s="427" t="s">
        <v>2829</v>
      </c>
      <c r="U1" s="427" t="s">
        <v>2830</v>
      </c>
      <c r="V1" s="427" t="s">
        <v>2831</v>
      </c>
      <c r="W1" s="427" t="s">
        <v>2832</v>
      </c>
      <c r="X1" s="427" t="s">
        <v>2833</v>
      </c>
      <c r="Y1" s="427" t="s">
        <v>2834</v>
      </c>
      <c r="Z1" s="427" t="s">
        <v>2835</v>
      </c>
      <c r="AA1" s="427" t="s">
        <v>2836</v>
      </c>
      <c r="AB1" s="427" t="s">
        <v>2837</v>
      </c>
      <c r="AC1" s="427" t="s">
        <v>2838</v>
      </c>
    </row>
    <row r="2">
      <c r="A2" s="427" t="s">
        <v>2839</v>
      </c>
      <c r="B2" s="427" t="s">
        <v>2840</v>
      </c>
      <c r="C2" s="427" t="s">
        <v>2841</v>
      </c>
      <c r="D2" s="427">
        <v>650628832</v>
      </c>
      <c r="E2" s="427">
        <v>1</v>
      </c>
      <c r="F2" s="427">
        <v>2</v>
      </c>
      <c r="G2" s="427" t="s">
        <v>2842</v>
      </c>
      <c r="H2" s="427" t="s">
        <v>2843</v>
      </c>
      <c r="I2" s="427" t="s">
        <v>2843</v>
      </c>
      <c r="J2" s="427" t="s">
        <v>2844</v>
      </c>
      <c r="K2" s="427" t="s">
        <v>2845</v>
      </c>
      <c r="L2" s="427" t="s">
        <v>2845</v>
      </c>
      <c r="M2" s="427" t="s">
        <v>2846</v>
      </c>
      <c r="N2" s="427" t="b">
        <v>1</v>
      </c>
      <c r="O2" s="427" t="s">
        <v>2847</v>
      </c>
      <c r="P2" s="427" t="b">
        <v>0</v>
      </c>
      <c r="R2" s="427" t="b">
        <v>1</v>
      </c>
      <c r="S2" s="427" t="b">
        <v>0</v>
      </c>
      <c r="X2" s="427" t="b">
        <v>0</v>
      </c>
      <c r="AA2" s="427" t="b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bestFit="1" min="2" max="2" width="13.140625"/>
    <col bestFit="1" min="3" max="3" width="11.3515625"/>
    <col bestFit="1" min="4" max="5" width="11.00390625"/>
  </cols>
  <sheetData>
    <row r="1" ht="25.5" customHeight="1">
      <c r="A1" s="428" t="s">
        <v>2848</v>
      </c>
      <c r="B1" s="429" t="s">
        <v>1827</v>
      </c>
      <c r="C1" s="429" t="s">
        <v>1828</v>
      </c>
      <c r="D1" s="429" t="s">
        <v>2849</v>
      </c>
      <c r="E1" s="429" t="s">
        <v>2850</v>
      </c>
      <c r="F1" s="429" t="s">
        <v>2</v>
      </c>
      <c r="G1" s="429" t="s">
        <v>3</v>
      </c>
      <c r="H1" s="429" t="s">
        <v>4</v>
      </c>
      <c r="I1" s="430" t="s">
        <v>2851</v>
      </c>
      <c r="J1" s="430" t="s">
        <v>2852</v>
      </c>
      <c r="K1" s="430" t="s">
        <v>2853</v>
      </c>
      <c r="L1" s="431" t="s">
        <v>2854</v>
      </c>
      <c r="M1" s="432"/>
      <c r="N1" s="432"/>
    </row>
    <row r="2" ht="25.5" customHeight="1">
      <c r="A2" s="247" t="s">
        <v>2855</v>
      </c>
      <c r="B2" s="433" t="s">
        <v>2856</v>
      </c>
      <c r="C2" s="434" t="s">
        <v>2857</v>
      </c>
      <c r="D2" s="434" t="s">
        <v>2858</v>
      </c>
      <c r="E2" s="434" t="s">
        <v>2859</v>
      </c>
      <c r="F2" s="187" t="s">
        <v>2860</v>
      </c>
      <c r="G2" s="435" t="s">
        <v>1507</v>
      </c>
      <c r="H2" s="186">
        <v>46139</v>
      </c>
      <c r="I2" s="187" t="s">
        <v>2861</v>
      </c>
      <c r="J2" s="188" t="s">
        <v>2862</v>
      </c>
      <c r="K2" s="188" t="s">
        <v>2860</v>
      </c>
      <c r="L2" s="189" t="s">
        <v>2863</v>
      </c>
      <c r="M2" s="190"/>
      <c r="N2" s="190"/>
    </row>
    <row r="3" ht="25.5" customHeight="1">
      <c r="A3" s="436" t="s">
        <v>2855</v>
      </c>
      <c r="B3" s="437" t="s">
        <v>2864</v>
      </c>
      <c r="C3" s="437" t="s">
        <v>2865</v>
      </c>
      <c r="D3" s="437" t="s">
        <v>2866</v>
      </c>
      <c r="E3" s="437" t="s">
        <v>2867</v>
      </c>
      <c r="F3" s="196" t="s">
        <v>2769</v>
      </c>
      <c r="G3" s="438" t="s">
        <v>1514</v>
      </c>
      <c r="H3" s="195">
        <v>46139</v>
      </c>
      <c r="I3" s="196" t="s">
        <v>2868</v>
      </c>
      <c r="J3" s="197" t="s">
        <v>2869</v>
      </c>
      <c r="K3" s="197" t="s">
        <v>2769</v>
      </c>
      <c r="L3" s="198" t="s">
        <v>2863</v>
      </c>
      <c r="M3" s="190"/>
      <c r="N3" s="190"/>
    </row>
    <row r="4" ht="25.5" customHeight="1">
      <c r="A4" s="436" t="s">
        <v>2855</v>
      </c>
      <c r="B4" s="439" t="s">
        <v>2870</v>
      </c>
      <c r="C4" s="439" t="s">
        <v>2871</v>
      </c>
      <c r="D4" s="439" t="s">
        <v>2872</v>
      </c>
      <c r="E4" s="439" t="s">
        <v>2873</v>
      </c>
      <c r="F4" s="203" t="s">
        <v>2874</v>
      </c>
      <c r="G4" s="440" t="s">
        <v>1520</v>
      </c>
      <c r="H4" s="202">
        <v>46139</v>
      </c>
      <c r="I4" s="203" t="s">
        <v>2875</v>
      </c>
      <c r="J4" s="204" t="s">
        <v>2876</v>
      </c>
      <c r="K4" s="204" t="s">
        <v>2874</v>
      </c>
      <c r="L4" s="205" t="s">
        <v>2877</v>
      </c>
      <c r="M4" s="190"/>
      <c r="N4" s="190"/>
    </row>
    <row r="5" ht="25.5" customHeight="1">
      <c r="A5" s="436" t="s">
        <v>2855</v>
      </c>
      <c r="B5" s="437" t="s">
        <v>2878</v>
      </c>
      <c r="C5" s="437" t="s">
        <v>2879</v>
      </c>
      <c r="D5" s="437" t="s">
        <v>2880</v>
      </c>
      <c r="E5" s="437" t="s">
        <v>2881</v>
      </c>
      <c r="F5" s="196" t="s">
        <v>2882</v>
      </c>
      <c r="G5" s="438" t="s">
        <v>1526</v>
      </c>
      <c r="H5" s="195">
        <v>46139</v>
      </c>
      <c r="I5" s="196" t="s">
        <v>2883</v>
      </c>
      <c r="J5" s="197" t="s">
        <v>2884</v>
      </c>
      <c r="K5" s="197" t="s">
        <v>2882</v>
      </c>
      <c r="L5" s="198" t="s">
        <v>2877</v>
      </c>
      <c r="M5" s="190"/>
      <c r="N5" s="190"/>
    </row>
    <row r="6" ht="25.5" customHeight="1">
      <c r="A6" s="436" t="s">
        <v>2855</v>
      </c>
      <c r="B6" s="439" t="s">
        <v>2885</v>
      </c>
      <c r="C6" s="439" t="s">
        <v>2886</v>
      </c>
      <c r="D6" s="439" t="s">
        <v>2887</v>
      </c>
      <c r="E6" s="439" t="s">
        <v>2888</v>
      </c>
      <c r="F6" s="203" t="s">
        <v>2889</v>
      </c>
      <c r="G6" s="440" t="s">
        <v>1532</v>
      </c>
      <c r="H6" s="202">
        <v>46139</v>
      </c>
      <c r="I6" s="203" t="s">
        <v>2890</v>
      </c>
      <c r="J6" s="204" t="s">
        <v>2891</v>
      </c>
      <c r="K6" s="204" t="s">
        <v>2889</v>
      </c>
      <c r="L6" s="205" t="s">
        <v>2877</v>
      </c>
      <c r="M6" s="190"/>
      <c r="N6" s="190"/>
    </row>
    <row r="7" ht="25.5" customHeight="1">
      <c r="A7" s="436" t="s">
        <v>2855</v>
      </c>
      <c r="B7" s="437" t="s">
        <v>2892</v>
      </c>
      <c r="C7" s="437" t="s">
        <v>2893</v>
      </c>
      <c r="D7" s="437" t="s">
        <v>2894</v>
      </c>
      <c r="E7" s="437" t="s">
        <v>2895</v>
      </c>
      <c r="F7" s="196" t="s">
        <v>2896</v>
      </c>
      <c r="G7" s="438" t="s">
        <v>1538</v>
      </c>
      <c r="H7" s="195">
        <v>46139</v>
      </c>
      <c r="I7" s="196" t="s">
        <v>2897</v>
      </c>
      <c r="J7" s="197" t="s">
        <v>2898</v>
      </c>
      <c r="K7" s="197" t="s">
        <v>2896</v>
      </c>
      <c r="L7" s="198" t="s">
        <v>2877</v>
      </c>
      <c r="M7" s="190"/>
      <c r="N7" s="190"/>
    </row>
    <row r="8" ht="25.5" customHeight="1">
      <c r="A8" s="436" t="s">
        <v>2855</v>
      </c>
      <c r="B8" s="439" t="s">
        <v>2899</v>
      </c>
      <c r="C8" s="439" t="s">
        <v>2900</v>
      </c>
      <c r="D8" s="439" t="s">
        <v>2901</v>
      </c>
      <c r="E8" s="439" t="s">
        <v>2902</v>
      </c>
      <c r="F8" s="203" t="s">
        <v>2777</v>
      </c>
      <c r="G8" s="440" t="s">
        <v>1544</v>
      </c>
      <c r="H8" s="202">
        <v>46139</v>
      </c>
      <c r="I8" s="203" t="s">
        <v>2903</v>
      </c>
      <c r="J8" s="204" t="s">
        <v>2904</v>
      </c>
      <c r="K8" s="204" t="s">
        <v>2777</v>
      </c>
      <c r="L8" s="205" t="s">
        <v>2877</v>
      </c>
      <c r="M8" s="190"/>
      <c r="N8" s="190"/>
    </row>
    <row r="9" ht="25.5" customHeight="1">
      <c r="A9" s="436" t="s">
        <v>2855</v>
      </c>
      <c r="B9" s="437" t="s">
        <v>2905</v>
      </c>
      <c r="C9" s="437" t="s">
        <v>2906</v>
      </c>
      <c r="D9" s="437" t="s">
        <v>2907</v>
      </c>
      <c r="E9" s="437" t="s">
        <v>2908</v>
      </c>
      <c r="F9" s="196" t="s">
        <v>2909</v>
      </c>
      <c r="G9" s="438" t="s">
        <v>1551</v>
      </c>
      <c r="H9" s="195">
        <v>46139</v>
      </c>
      <c r="I9" s="196" t="s">
        <v>2910</v>
      </c>
      <c r="J9" s="197" t="s">
        <v>2911</v>
      </c>
      <c r="K9" s="197" t="s">
        <v>2909</v>
      </c>
      <c r="L9" s="198" t="s">
        <v>2877</v>
      </c>
      <c r="M9" s="190"/>
      <c r="N9" s="190"/>
    </row>
    <row r="10" ht="25.5" customHeight="1">
      <c r="A10" s="436" t="s">
        <v>2855</v>
      </c>
      <c r="B10" s="439" t="s">
        <v>2912</v>
      </c>
      <c r="C10" s="439" t="s">
        <v>2913</v>
      </c>
      <c r="D10" s="439" t="s">
        <v>2914</v>
      </c>
      <c r="E10" s="439" t="s">
        <v>2915</v>
      </c>
      <c r="F10" s="203" t="s">
        <v>2916</v>
      </c>
      <c r="G10" s="441" t="s">
        <v>1557</v>
      </c>
      <c r="H10" s="202">
        <v>46139</v>
      </c>
      <c r="I10" s="203" t="s">
        <v>2917</v>
      </c>
      <c r="J10" s="204" t="s">
        <v>2918</v>
      </c>
      <c r="K10" s="204" t="s">
        <v>2916</v>
      </c>
      <c r="L10" s="205" t="s">
        <v>2919</v>
      </c>
      <c r="M10" s="190"/>
      <c r="N10" s="190"/>
    </row>
    <row r="11" ht="25.5" customHeight="1">
      <c r="A11" s="442" t="s">
        <v>1619</v>
      </c>
      <c r="B11" s="437" t="s">
        <v>2920</v>
      </c>
      <c r="C11" s="437" t="s">
        <v>2921</v>
      </c>
      <c r="D11" s="443" t="s">
        <v>2922</v>
      </c>
      <c r="E11" s="443" t="s">
        <v>2923</v>
      </c>
      <c r="F11" s="230" t="s">
        <v>2924</v>
      </c>
      <c r="G11" s="194" t="s">
        <v>2925</v>
      </c>
      <c r="H11" s="195">
        <v>46139</v>
      </c>
      <c r="I11" s="196" t="s">
        <v>2926</v>
      </c>
      <c r="J11" s="197" t="s">
        <v>2927</v>
      </c>
      <c r="K11" s="197" t="s">
        <v>2924</v>
      </c>
      <c r="L11" s="198" t="s">
        <v>2335</v>
      </c>
      <c r="M11" s="190"/>
      <c r="N11" s="190"/>
    </row>
    <row r="12" ht="25.5" customHeight="1">
      <c r="A12" s="444" t="s">
        <v>1619</v>
      </c>
      <c r="B12" s="439" t="s">
        <v>2928</v>
      </c>
      <c r="C12" s="439" t="s">
        <v>2929</v>
      </c>
      <c r="D12" s="445" t="s">
        <v>2930</v>
      </c>
      <c r="E12" s="445" t="s">
        <v>2931</v>
      </c>
      <c r="F12" s="212" t="s">
        <v>2932</v>
      </c>
      <c r="G12" s="194" t="s">
        <v>2933</v>
      </c>
      <c r="H12" s="202">
        <v>46139</v>
      </c>
      <c r="I12" s="203" t="s">
        <v>2934</v>
      </c>
      <c r="J12" s="204" t="s">
        <v>2935</v>
      </c>
      <c r="K12" s="204" t="s">
        <v>2932</v>
      </c>
      <c r="L12" s="205" t="s">
        <v>2335</v>
      </c>
      <c r="M12" s="190"/>
      <c r="N12" s="190"/>
    </row>
    <row r="13" ht="25.5" customHeight="1">
      <c r="A13" s="444" t="s">
        <v>1619</v>
      </c>
      <c r="B13" s="437" t="s">
        <v>2936</v>
      </c>
      <c r="C13" s="437" t="s">
        <v>2937</v>
      </c>
      <c r="D13" s="443" t="s">
        <v>2938</v>
      </c>
      <c r="E13" s="443" t="s">
        <v>2930</v>
      </c>
      <c r="F13" s="230" t="s">
        <v>2939</v>
      </c>
      <c r="G13" s="194" t="s">
        <v>2940</v>
      </c>
      <c r="H13" s="195">
        <v>46139</v>
      </c>
      <c r="I13" s="196" t="s">
        <v>2941</v>
      </c>
      <c r="J13" s="197" t="s">
        <v>2942</v>
      </c>
      <c r="K13" s="197" t="s">
        <v>2939</v>
      </c>
      <c r="L13" s="198" t="s">
        <v>2335</v>
      </c>
      <c r="M13" s="190"/>
      <c r="N13" s="190"/>
    </row>
    <row r="14" ht="25.5" customHeight="1">
      <c r="A14" s="444" t="s">
        <v>1619</v>
      </c>
      <c r="B14" s="439" t="s">
        <v>2943</v>
      </c>
      <c r="C14" s="439" t="s">
        <v>2944</v>
      </c>
      <c r="D14" s="445" t="s">
        <v>2945</v>
      </c>
      <c r="E14" s="445" t="s">
        <v>2946</v>
      </c>
      <c r="F14" s="212" t="s">
        <v>2947</v>
      </c>
      <c r="G14" s="194" t="s">
        <v>2948</v>
      </c>
      <c r="H14" s="202">
        <v>46139</v>
      </c>
      <c r="I14" s="203" t="s">
        <v>2949</v>
      </c>
      <c r="J14" s="204" t="s">
        <v>2950</v>
      </c>
      <c r="K14" s="204" t="s">
        <v>2947</v>
      </c>
      <c r="L14" s="205" t="s">
        <v>2335</v>
      </c>
      <c r="M14" s="190"/>
      <c r="N14" s="190"/>
    </row>
    <row r="15" ht="25.5" customHeight="1">
      <c r="A15" s="444" t="s">
        <v>1619</v>
      </c>
      <c r="B15" s="439" t="s">
        <v>2951</v>
      </c>
      <c r="C15" s="439" t="s">
        <v>2952</v>
      </c>
      <c r="D15" s="445" t="s">
        <v>2953</v>
      </c>
      <c r="E15" s="445" t="s">
        <v>2954</v>
      </c>
      <c r="F15" s="212" t="s">
        <v>2955</v>
      </c>
      <c r="G15" s="194" t="s">
        <v>2956</v>
      </c>
      <c r="H15" s="202">
        <v>46139</v>
      </c>
      <c r="I15" s="203" t="s">
        <v>2957</v>
      </c>
      <c r="J15" s="204" t="s">
        <v>2958</v>
      </c>
      <c r="K15" s="204" t="s">
        <v>2955</v>
      </c>
      <c r="L15" s="205" t="s">
        <v>2342</v>
      </c>
      <c r="M15" s="190"/>
      <c r="N15" s="190"/>
    </row>
    <row r="16" ht="25.5" customHeight="1">
      <c r="A16" s="444" t="s">
        <v>1619</v>
      </c>
      <c r="B16" s="437" t="s">
        <v>2959</v>
      </c>
      <c r="C16" s="437" t="s">
        <v>2960</v>
      </c>
      <c r="D16" s="443" t="s">
        <v>2961</v>
      </c>
      <c r="E16" s="443" t="s">
        <v>2962</v>
      </c>
      <c r="F16" s="230" t="s">
        <v>2963</v>
      </c>
      <c r="G16" s="194" t="s">
        <v>2964</v>
      </c>
      <c r="H16" s="195">
        <v>46139</v>
      </c>
      <c r="I16" s="196" t="s">
        <v>2965</v>
      </c>
      <c r="J16" s="197" t="s">
        <v>2966</v>
      </c>
      <c r="K16" s="197" t="s">
        <v>2963</v>
      </c>
      <c r="L16" s="198" t="s">
        <v>2342</v>
      </c>
      <c r="M16" s="190"/>
      <c r="N16" s="190"/>
    </row>
    <row r="17" ht="25.5" customHeight="1">
      <c r="A17" s="368" t="s">
        <v>2668</v>
      </c>
      <c r="B17" s="437" t="s">
        <v>2967</v>
      </c>
      <c r="C17" s="437" t="s">
        <v>2968</v>
      </c>
      <c r="D17" s="443" t="s">
        <v>2969</v>
      </c>
      <c r="E17" s="443" t="s">
        <v>2970</v>
      </c>
      <c r="F17" s="230" t="s">
        <v>2971</v>
      </c>
      <c r="G17" s="194" t="s">
        <v>2972</v>
      </c>
      <c r="H17" s="195">
        <v>46139</v>
      </c>
      <c r="I17" s="196" t="s">
        <v>2973</v>
      </c>
      <c r="J17" s="197" t="s">
        <v>2974</v>
      </c>
      <c r="K17" s="197" t="s">
        <v>2971</v>
      </c>
      <c r="L17" s="198" t="s">
        <v>2975</v>
      </c>
      <c r="M17" s="190"/>
      <c r="N17" s="190"/>
    </row>
    <row r="18" ht="25.5" customHeight="1">
      <c r="A18" s="369" t="s">
        <v>2668</v>
      </c>
      <c r="B18" s="439" t="s">
        <v>2976</v>
      </c>
      <c r="C18" s="439" t="s">
        <v>2977</v>
      </c>
      <c r="D18" s="445" t="s">
        <v>2978</v>
      </c>
      <c r="E18" s="445" t="s">
        <v>2979</v>
      </c>
      <c r="F18" s="212" t="s">
        <v>2980</v>
      </c>
      <c r="G18" s="194" t="s">
        <v>2981</v>
      </c>
      <c r="H18" s="202">
        <v>46139</v>
      </c>
      <c r="I18" s="203" t="s">
        <v>2982</v>
      </c>
      <c r="J18" s="204" t="s">
        <v>2983</v>
      </c>
      <c r="K18" s="204" t="s">
        <v>2980</v>
      </c>
      <c r="L18" s="205" t="s">
        <v>2975</v>
      </c>
      <c r="M18" s="190"/>
      <c r="N18" s="190"/>
    </row>
    <row r="19" ht="25.5" customHeight="1">
      <c r="A19" s="369" t="s">
        <v>2668</v>
      </c>
      <c r="B19" s="437" t="s">
        <v>2984</v>
      </c>
      <c r="C19" s="437" t="s">
        <v>2985</v>
      </c>
      <c r="D19" s="443" t="s">
        <v>2986</v>
      </c>
      <c r="E19" s="443" t="s">
        <v>2987</v>
      </c>
      <c r="F19" s="230" t="s">
        <v>2988</v>
      </c>
      <c r="G19" s="194" t="s">
        <v>2989</v>
      </c>
      <c r="H19" s="195">
        <v>46139</v>
      </c>
      <c r="I19" s="196" t="s">
        <v>2990</v>
      </c>
      <c r="J19" s="197" t="s">
        <v>2991</v>
      </c>
      <c r="K19" s="197" t="s">
        <v>2988</v>
      </c>
      <c r="L19" s="198" t="s">
        <v>2975</v>
      </c>
      <c r="M19" s="190"/>
      <c r="N19" s="190"/>
    </row>
    <row r="20" ht="25.5" customHeight="1">
      <c r="A20" s="369" t="s">
        <v>2668</v>
      </c>
      <c r="B20" s="439" t="s">
        <v>2992</v>
      </c>
      <c r="C20" s="439" t="s">
        <v>2993</v>
      </c>
      <c r="D20" s="445" t="s">
        <v>2994</v>
      </c>
      <c r="E20" s="445" t="s">
        <v>2995</v>
      </c>
      <c r="F20" s="212" t="s">
        <v>2996</v>
      </c>
      <c r="G20" s="194" t="s">
        <v>2997</v>
      </c>
      <c r="H20" s="202">
        <v>46139</v>
      </c>
      <c r="I20" s="203" t="s">
        <v>2998</v>
      </c>
      <c r="J20" s="204" t="s">
        <v>2999</v>
      </c>
      <c r="K20" s="204" t="s">
        <v>2996</v>
      </c>
      <c r="L20" s="205" t="s">
        <v>3000</v>
      </c>
      <c r="M20" s="190"/>
      <c r="N20" s="190"/>
    </row>
    <row r="21" ht="25.5" customHeight="1">
      <c r="A21" s="369" t="s">
        <v>2668</v>
      </c>
      <c r="B21" s="437" t="s">
        <v>3001</v>
      </c>
      <c r="C21" s="437" t="s">
        <v>3002</v>
      </c>
      <c r="D21" s="443" t="s">
        <v>3003</v>
      </c>
      <c r="E21" s="443" t="s">
        <v>3004</v>
      </c>
      <c r="F21" s="230" t="s">
        <v>3005</v>
      </c>
      <c r="G21" s="194" t="s">
        <v>3006</v>
      </c>
      <c r="H21" s="195">
        <v>46139</v>
      </c>
      <c r="I21" s="196" t="s">
        <v>3007</v>
      </c>
      <c r="J21" s="197" t="s">
        <v>3008</v>
      </c>
      <c r="K21" s="197" t="s">
        <v>3005</v>
      </c>
      <c r="L21" s="198" t="s">
        <v>3000</v>
      </c>
      <c r="M21" s="190"/>
      <c r="N21" s="190"/>
    </row>
    <row r="22" ht="25.5" customHeight="1">
      <c r="A22" s="369" t="s">
        <v>2668</v>
      </c>
      <c r="B22" s="439" t="s">
        <v>3009</v>
      </c>
      <c r="C22" s="439" t="s">
        <v>3010</v>
      </c>
      <c r="D22" s="445" t="s">
        <v>3011</v>
      </c>
      <c r="E22" s="445" t="s">
        <v>3012</v>
      </c>
      <c r="F22" s="212" t="s">
        <v>3013</v>
      </c>
      <c r="G22" s="194" t="s">
        <v>3014</v>
      </c>
      <c r="H22" s="202">
        <v>46139</v>
      </c>
      <c r="I22" s="203" t="s">
        <v>3015</v>
      </c>
      <c r="J22" s="204" t="s">
        <v>3016</v>
      </c>
      <c r="K22" s="204" t="s">
        <v>3013</v>
      </c>
      <c r="L22" s="205" t="s">
        <v>3000</v>
      </c>
      <c r="M22" s="190"/>
      <c r="N22" s="190"/>
    </row>
    <row r="23" ht="25.5" customHeight="1">
      <c r="A23" s="446" t="s">
        <v>3017</v>
      </c>
      <c r="B23" s="439" t="s">
        <v>3018</v>
      </c>
      <c r="C23" s="439" t="s">
        <v>3019</v>
      </c>
      <c r="D23" s="445" t="s">
        <v>3020</v>
      </c>
      <c r="E23" s="445" t="s">
        <v>3021</v>
      </c>
      <c r="F23" s="212" t="s">
        <v>3022</v>
      </c>
      <c r="G23" s="194" t="s">
        <v>1655</v>
      </c>
      <c r="H23" s="202">
        <v>46139</v>
      </c>
      <c r="I23" s="203" t="s">
        <v>3023</v>
      </c>
      <c r="J23" s="204" t="s">
        <v>3024</v>
      </c>
      <c r="K23" s="204" t="s">
        <v>3022</v>
      </c>
      <c r="L23" s="205" t="s">
        <v>2392</v>
      </c>
      <c r="M23" s="190"/>
      <c r="N23" s="190"/>
    </row>
    <row r="24" ht="25.5" customHeight="1">
      <c r="A24" s="447" t="s">
        <v>3017</v>
      </c>
      <c r="B24" s="437" t="s">
        <v>3025</v>
      </c>
      <c r="C24" s="437" t="s">
        <v>3026</v>
      </c>
      <c r="D24" s="443" t="s">
        <v>3027</v>
      </c>
      <c r="E24" s="443" t="s">
        <v>3028</v>
      </c>
      <c r="F24" s="230" t="s">
        <v>3029</v>
      </c>
      <c r="G24" s="194" t="s">
        <v>3030</v>
      </c>
      <c r="H24" s="195">
        <v>46139</v>
      </c>
      <c r="I24" s="196" t="s">
        <v>3031</v>
      </c>
      <c r="J24" s="197" t="s">
        <v>3032</v>
      </c>
      <c r="K24" s="197" t="s">
        <v>3029</v>
      </c>
      <c r="L24" s="198" t="s">
        <v>2392</v>
      </c>
      <c r="M24" s="190"/>
      <c r="N24" s="190"/>
    </row>
    <row r="25" ht="25.5" customHeight="1">
      <c r="A25" s="447" t="s">
        <v>3017</v>
      </c>
      <c r="B25" s="448" t="s">
        <v>3033</v>
      </c>
      <c r="C25" s="448" t="s">
        <v>3034</v>
      </c>
      <c r="D25" s="449" t="s">
        <v>3035</v>
      </c>
      <c r="E25" s="449" t="s">
        <v>3036</v>
      </c>
      <c r="F25" s="233" t="s">
        <v>3037</v>
      </c>
      <c r="G25" s="194" t="s">
        <v>3038</v>
      </c>
      <c r="H25" s="234">
        <v>46139</v>
      </c>
      <c r="I25" s="235" t="s">
        <v>3039</v>
      </c>
      <c r="J25" s="236" t="s">
        <v>3040</v>
      </c>
      <c r="K25" s="236" t="s">
        <v>3037</v>
      </c>
      <c r="L25" s="237" t="s">
        <v>3041</v>
      </c>
      <c r="M25" s="190"/>
      <c r="N25" s="190"/>
    </row>
    <row r="26" ht="25.5" customHeight="1">
      <c r="A26" s="447" t="s">
        <v>3017</v>
      </c>
      <c r="B26" s="439" t="s">
        <v>3042</v>
      </c>
      <c r="C26" s="439" t="s">
        <v>3043</v>
      </c>
      <c r="D26" s="445" t="s">
        <v>3044</v>
      </c>
      <c r="E26" s="445" t="s">
        <v>3045</v>
      </c>
      <c r="F26" s="212" t="s">
        <v>3046</v>
      </c>
      <c r="G26" s="194" t="s">
        <v>3047</v>
      </c>
      <c r="H26" s="202">
        <v>46139</v>
      </c>
      <c r="I26" s="203" t="s">
        <v>3048</v>
      </c>
      <c r="J26" s="204" t="s">
        <v>3049</v>
      </c>
      <c r="K26" s="204" t="s">
        <v>3046</v>
      </c>
      <c r="L26" s="205" t="s">
        <v>3050</v>
      </c>
      <c r="M26" s="190"/>
      <c r="N26" s="190"/>
    </row>
    <row r="27" ht="25.5" customHeight="1">
      <c r="A27" s="447" t="s">
        <v>3017</v>
      </c>
      <c r="B27" s="437" t="s">
        <v>3051</v>
      </c>
      <c r="C27" s="437" t="s">
        <v>3052</v>
      </c>
      <c r="D27" s="443" t="s">
        <v>3053</v>
      </c>
      <c r="E27" s="443" t="s">
        <v>3054</v>
      </c>
      <c r="F27" s="230" t="s">
        <v>3055</v>
      </c>
      <c r="G27" s="194" t="s">
        <v>3056</v>
      </c>
      <c r="H27" s="195">
        <v>46139</v>
      </c>
      <c r="I27" s="196" t="s">
        <v>3057</v>
      </c>
      <c r="J27" s="197" t="s">
        <v>3058</v>
      </c>
      <c r="K27" s="197" t="s">
        <v>3055</v>
      </c>
      <c r="L27" s="198" t="s">
        <v>3059</v>
      </c>
      <c r="M27" s="190"/>
      <c r="N27" s="190"/>
    </row>
    <row r="28" ht="25.5" customHeight="1"/>
    <row r="29" ht="25.5" customHeight="1"/>
  </sheetData>
  <hyperlinks>
    <hyperlink r:id="rId1" ref="J2" tooltip=""/>
    <hyperlink r:id="rId1" ref="K2" tooltip=""/>
    <hyperlink r:id="rId2" ref="J3" tooltip=""/>
    <hyperlink r:id="rId2" ref="K3" tooltip=""/>
    <hyperlink r:id="rId3" ref="J4" tooltip=""/>
    <hyperlink r:id="rId3" ref="K4" tooltip=""/>
    <hyperlink r:id="rId4" ref="J5" tooltip=""/>
    <hyperlink r:id="rId4" ref="K5" tooltip=""/>
    <hyperlink r:id="rId5" ref="J6" tooltip=""/>
    <hyperlink r:id="rId5" ref="K6" tooltip=""/>
    <hyperlink r:id="rId6" ref="J7" tooltip=""/>
    <hyperlink r:id="rId6" ref="K7" tooltip=""/>
    <hyperlink r:id="rId7" ref="J8" tooltip=""/>
    <hyperlink r:id="rId7" ref="K8" tooltip=""/>
    <hyperlink r:id="rId8" ref="J9" tooltip=""/>
    <hyperlink r:id="rId8" ref="K9" tooltip=""/>
    <hyperlink r:id="rId9" ref="J10" tooltip=""/>
    <hyperlink r:id="rId9" ref="K10" tooltip=""/>
    <hyperlink r:id="rId10" ref="J11" tooltip=""/>
    <hyperlink r:id="rId10" ref="K11" tooltip=""/>
    <hyperlink r:id="rId11" ref="J12" tooltip=""/>
    <hyperlink r:id="rId11" ref="K12" tooltip=""/>
    <hyperlink r:id="rId12" ref="J13" tooltip=""/>
    <hyperlink r:id="rId12" ref="K13" tooltip=""/>
    <hyperlink r:id="rId13" ref="J14" tooltip=""/>
    <hyperlink r:id="rId13" ref="K14" tooltip=""/>
    <hyperlink r:id="rId14" ref="J15" tooltip=""/>
    <hyperlink r:id="rId14" ref="K15" tooltip=""/>
    <hyperlink r:id="rId15" ref="J16" tooltip=""/>
    <hyperlink r:id="rId15" ref="K16" tooltip=""/>
    <hyperlink r:id="rId16" ref="J17" tooltip=""/>
    <hyperlink r:id="rId16" ref="K17" tooltip=""/>
    <hyperlink r:id="rId17" ref="J18" tooltip=""/>
    <hyperlink r:id="rId17" ref="K18" tooltip=""/>
    <hyperlink r:id="rId18" ref="J19" tooltip=""/>
    <hyperlink r:id="rId18" ref="K19" tooltip=""/>
    <hyperlink r:id="rId19" ref="J20" tooltip=""/>
    <hyperlink r:id="rId19" ref="K20" tooltip=""/>
    <hyperlink r:id="rId20" ref="J21" tooltip=""/>
    <hyperlink r:id="rId20" ref="K21" tooltip=""/>
    <hyperlink r:id="rId21" ref="J22" tooltip=""/>
    <hyperlink r:id="rId21" ref="K22" tooltip=""/>
    <hyperlink r:id="rId22" ref="J23" tooltip=""/>
    <hyperlink r:id="rId22" ref="K23" tooltip=""/>
    <hyperlink r:id="rId23" ref="J24" tooltip=""/>
    <hyperlink r:id="rId23" ref="K24" tooltip=""/>
    <hyperlink r:id="rId24" ref="J25" tooltip=""/>
    <hyperlink r:id="rId24" ref="K25" tooltip=""/>
    <hyperlink r:id="rId25" ref="J26" tooltip=""/>
    <hyperlink r:id="rId25" ref="K26" tooltip=""/>
    <hyperlink r:id="rId26" ref="J27" tooltip=""/>
    <hyperlink r:id="rId26" ref="K27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2026-05-09T07:55:13Z</dcterms:modified>
</cp:coreProperties>
</file>