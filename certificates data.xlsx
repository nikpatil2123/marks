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<sst xmlns="http://schemas.openxmlformats.org/spreadsheetml/2006/main" count="3063" uniqueCount="3063">
  <si>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</si>
  <si>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</si>
  <si>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</si>
  <si>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</si>
  <si>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</si>
  <si>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</si>
  <si>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</si>
  <si>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</si>
  <si>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</si>
  <si>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</si>
  <si>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</si>
  <si>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</si>
  <si>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</si>
  <si>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</si>
  <si>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</si>
  <si>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</si>
  <si>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</si>
  <si>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</si>
  <si>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</si>
  <si>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</si>
  <si>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</si>
  <si>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</si>
  <si>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</si>
  <si>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</si>
  <si>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</si>
  <si>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</si>
  <si>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</si>
  <si>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</si>
  <si>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</si>
  <si>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</si>
  <si>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</si>
  <si>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</si>
  <si>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</si>
  <si>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</si>
  <si>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</si>
  <si>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</si>
  <si>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</si>
  <si>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</si>
  <si>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</si>
  <si>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</si>
  <si>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</si>
  <si>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</si>
  <si>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</si>
  <si>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</si>
  <si>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</si>
  <si>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</si>
  <si>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</si>
  <si>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</si>
  <si>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</si>
  <si>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</si>
  <si>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</si>
  <si>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</si>
  <si>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</si>
  <si>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</si>
  <si>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</si>
  <si>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</si>
  <si>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</si>
  <si>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</si>
  <si>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</si>
  <si>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</si>
  <si>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</si>
  <si>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</si>
  <si>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</si>
  <si>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</si>
  <si>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</si>
  <si>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</si>
  <si>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</si>
  <si>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</si>
  <si>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</si>
  <si>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</si>
  <si>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</si>
  <si>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</si>
  <si>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</si>
  <si>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</si>
  <si>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</si>
  <si>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</si>
  <si>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</si>
  <si>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</si>
  <si>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</si>
  <si>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</si>
  <si>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</si>
  <si>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</si>
  <si>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</si>
  <si>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</si>
  <si>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</si>
  <si>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</si>
  <si>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</si>
  <si>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</si>
  <si>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</si>
  <si>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</si>
  <si>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</si>
  <si>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</si>
  <si>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</si>
  <si>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</si>
  <si>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</si>
  <si>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</si>
  <si>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</si>
  <si>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</si>
  <si>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</si>
  <si>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</si>
  <si>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</si>
  <si>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</si>
  <si>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</si>
  <si>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</si>
  <si>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</si>
  <si>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</si>
  <si>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</si>
  <si>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</si>
  <si>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</si>
  <si>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</si>
  <si>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</si>
  <si>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</si>
  <si>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</si>
  <si>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</si>
  <si>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</si>
  <si>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</si>
  <si>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</si>
  <si>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</si>
  <si>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</si>
  <si>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</si>
  <si>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</si>
  <si>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</si>
  <si>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</si>
  <si>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</si>
  <si>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</si>
  <si>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</si>
  <si>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</si>
  <si>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</si>
  <si>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</si>
  <si>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</si>
  <si>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</si>
  <si>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</si>
  <si>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</si>
  <si>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</si>
  <si>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</si>
  <si>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</si>
  <si>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</si>
  <si>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</si>
  <si>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</si>
  <si>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</si>
  <si>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</si>
  <si>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</si>
  <si>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</si>
  <si>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</si>
  <si>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</si>
  <si>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</si>
  <si>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</si>
  <si>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</si>
  <si>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</si>
  <si>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</si>
  <si>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</si>
  <si>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</si>
  <si>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</si>
  <si>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</si>
  <si>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</si>
  <si>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</si>
  <si>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</si>
  <si>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</si>
  <si>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</si>
  <si>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</si>
  <si>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</si>
  <si>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</si>
  <si>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</si>
  <si>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</si>
  <si>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</si>
  <si>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</si>
  <si>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</si>
  <si>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</si>
  <si>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</si>
  <si>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</si>
  <si>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</si>
  <si>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</si>
  <si>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</si>
  <si>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</si>
  <si>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</si>
  <si>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</si>
  <si>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</si>
  <si>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</si>
  <si>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</si>
  <si>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</si>
  <si>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</si>
  <si>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</si>
  <si>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</si>
  <si>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</si>
  <si>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</si>
  <si>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</si>
  <si>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</si>
  <si>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</si>
  <si>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</si>
  <si>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</si>
  <si>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</si>
  <si>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</si>
  <si>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</si>
  <si>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</si>
  <si>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</si>
  <si>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</si>
  <si>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</si>
  <si>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</si>
  <si>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</si>
  <si>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</si>
  <si>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</si>
  <si>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</si>
  <si>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</si>
  <si>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</si>
  <si>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</si>
  <si>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</si>
  <si>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</si>
  <si>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</si>
  <si>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</si>
  <si>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</si>
  <si>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</si>
  <si>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</si>
  <si>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</si>
  <si>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</si>
  <si>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</si>
  <si>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</si>
  <si>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</si>
  <si>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</si>
  <si>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</si>
  <si>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</si>
  <si>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</si>
  <si>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</si>
  <si>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</si>
  <si>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</si>
  <si>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</si>
  <si>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</si>
  <si>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</si>
  <si>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</si>
  <si>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</si>
  <si>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</si>
  <si>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</si>
  <si>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</si>
  <si>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</si>
  <si>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</si>
  <si>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</si>
  <si>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</si>
  <si>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</si>
  <si>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</si>
  <si>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</si>
  <si>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</si>
  <si>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</si>
  <si>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</si>
  <si>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</si>
  <si>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</si>
  <si>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</si>
  <si>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</si>
  <si>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</si>
  <si>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</si>
  <si>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</si>
  <si>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</si>
  <si>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</si>
  <si>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</si>
  <si>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</si>
  <si>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</si>
  <si>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</si>
  <si>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</si>
  <si>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</si>
  <si>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</si>
  <si>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</si>
  <si>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</si>
  <si>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</si>
  <si>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</si>
  <si>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</si>
  <si>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</si>
  <si>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</si>
  <si>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</si>
  <si>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</si>
  <si>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</si>
  <si>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</si>
  <si>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</si>
  <si>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</si>
  <si>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</si>
  <si>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</si>
  <si>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</si>
  <si>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</si>
  <si>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</si>
  <si>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</si>
  <si>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</si>
  <si>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</si>
  <si>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</si>
  <si>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</si>
  <si>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</si>
  <si>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</si>
  <si>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</si>
  <si>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</si>
  <si>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</si>
  <si>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</si>
  <si>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</si>
  <si>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</si>
  <si>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</si>
  <si>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</si>
  <si>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</si>
  <si>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</si>
  <si>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</si>
  <si>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</si>
  <si>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</si>
  <si>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</si>
  <si>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</si>
  <si>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</si>
  <si>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</si>
  <si>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</si>
  <si>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</si>
  <si>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</si>
  <si>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</si>
  <si>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</si>
  <si>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</si>
  <si>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</si>
  <si>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</si>
  <si>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</si>
  <si>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</si>
  <si>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</si>
  <si>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</si>
  <si>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</si>
  <si>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</si>
  <si>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</si>
  <si>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</si>
  <si>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</si>
  <si>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</si>
  <si>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</si>
  <si>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</si>
  <si>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</si>
  <si>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</si>
  <si>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</si>
  <si>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</si>
  <si>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</si>
  <si>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</si>
  <si>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</si>
  <si>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</si>
  <si>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</si>
  <si>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</si>
  <si>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</si>
  <si>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</si>
  <si>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</si>
  <si>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</si>
  <si>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</si>
  <si>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</si>
  <si>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</si>
  <si>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</si>
  <si>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</si>
  <si>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</si>
  <si>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</si>
  <si>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</si>
  <si>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</si>
  <si>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</si>
  <si>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</si>
  <si>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</si>
  <si>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</si>
  <si>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</si>
  <si>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</si>
  <si>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</si>
  <si>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</si>
  <si>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</si>
  <si>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</si>
  <si>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</si>
  <si>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</si>
  <si>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</si>
  <si>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</si>
  <si>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</si>
  <si>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</si>
  <si>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</si>
  <si>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</si>
  <si>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</si>
  <si>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</si>
  <si>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</si>
  <si>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</si>
  <si>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</si>
  <si>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</si>
  <si>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</si>
  <si>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</si>
  <si>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</si>
  <si>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</si>
  <si>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</si>
  <si>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</si>
  <si>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</si>
  <si>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</si>
  <si>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</si>
  <si>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</si>
  <si>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</si>
  <si>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</si>
  <si>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</si>
  <si>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</si>
  <si>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</si>
  <si>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</si>
  <si>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</si>
  <si>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</si>
  <si>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</si>
  <si>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</si>
  <si>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</si>
  <si>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</si>
  <si>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</si>
  <si>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</si>
  <si>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</si>
  <si>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</si>
  <si>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</si>
  <si>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</si>
  <si>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</si>
  <si>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</si>
  <si>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</si>
  <si>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</si>
  <si>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</si>
  <si>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</si>
  <si>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</si>
  <si>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</si>
  <si>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</si>
  <si>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</si>
  <si>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</si>
  <si>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</si>
  <si>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</si>
  <si>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</si>
  <si>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</si>
  <si>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</si>
  <si>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</si>
  <si>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</si>
  <si>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</si>
  <si>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</si>
  <si>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</si>
  <si>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</si>
  <si>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</si>
  <si>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</si>
  <si>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</si>
  <si>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</si>
  <si>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</si>
  <si>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</si>
  <si>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</si>
  <si>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</si>
  <si>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</si>
  <si>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</si>
  <si>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</si>
  <si>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</si>
  <si>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</si>
  <si>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</si>
  <si>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</si>
  <si>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</si>
  <si>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</si>
  <si>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</si>
  <si>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</si>
  <si>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</si>
  <si>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</si>
  <si>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</si>
  <si>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</si>
  <si>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</si>
  <si>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</si>
  <si>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</si>
  <si>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</si>
  <si>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</si>
  <si>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</si>
  <si>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</si>
  <si>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</si>
  <si>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</si>
  <si>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</si>
  <si>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</si>
  <si>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</si>
  <si>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</si>
  <si>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</si>
  <si>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</si>
  <si>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</si>
  <si>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</si>
  <si>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</si>
  <si>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</si>
  <si>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</si>
  <si>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</si>
  <si>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</si>
  <si>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</si>
  <si>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</si>
  <si>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</si>
  <si>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</si>
  <si>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</si>
  <si>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</si>
  <si>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</si>
  <si>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</si>
  <si>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</si>
  <si>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</si>
  <si>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</si>
  <si>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</si>
  <si>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</si>
  <si>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</si>
  <si>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</si>
  <si>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</si>
  <si>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</si>
  <si>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</si>
  <si>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</si>
  <si>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</si>
  <si>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</si>
  <si>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</si>
  <si>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</si>
  <si>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</si>
  <si>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</si>
  <si>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</si>
  <si>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</si>
  <si>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</si>
  <si>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</si>
  <si>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</si>
  <si>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</si>
  <si>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</si>
  <si>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</si>
  <si>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</si>
  <si>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</si>
  <si>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</si>
  <si>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</si>
  <si>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</si>
  <si>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</si>
  <si>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</si>
  <si>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</si>
  <si>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</si>
  <si>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</si>
  <si>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</si>
  <si>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</si>
  <si>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</si>
  <si>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</si>
  <si>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</si>
  <si>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</si>
  <si>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</si>
  <si>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</si>
  <si>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</si>
  <si>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</si>
  <si>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</si>
  <si>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</si>
  <si>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</si>
  <si>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</si>
  <si>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</si>
  <si>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</si>
  <si>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</si>
  <si>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</si>
  <si>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</si>
  <si>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</si>
  <si>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</si>
  <si>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</si>
  <si>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</si>
  <si>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</si>
  <si>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</si>
  <si>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</si>
  <si>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</si>
  <si>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</si>
  <si>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</si>
  <si>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</si>
  <si>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</si>
  <si>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</si>
  <si>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</si>
  <si>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</si>
  <si>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</si>
  <si>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</si>
  <si>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</si>
  <si>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</si>
  <si>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</si>
  <si>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</si>
  <si>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</si>
  <si>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</si>
  <si>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</si>
  <si>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</si>
  <si>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</si>
  <si>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</si>
  <si>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</si>
  <si>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</si>
  <si>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</si>
  <si>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</si>
  <si>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</si>
  <si>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</si>
  <si>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</si>
  <si>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</si>
  <si>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</si>
  <si>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</si>
  <si>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</si>
  <si>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</si>
  <si>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</si>
  <si>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</si>
  <si>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</si>
  <si>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</si>
  <si>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</si>
  <si>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</si>
  <si>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</si>
  <si>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</si>
  <si>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</si>
  <si>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</si>
  <si>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</si>
  <si>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</si>
  <si>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</si>
  <si>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</si>
  <si>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</si>
  <si>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</si>
  <si>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</si>
  <si>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</si>
  <si>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</si>
  <si>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</si>
  <si>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</si>
  <si>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</si>
  <si>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</si>
  <si>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</si>
  <si>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</si>
  <si>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</si>
  <si>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</si>
  <si>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</si>
  <si>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</si>
  <si>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</si>
  <si>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</si>
  <si>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</si>
  <si>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</si>
  <si>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</si>
  <si>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</si>
  <si>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</si>
  <si>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</si>
  <si>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</si>
  <si>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</si>
  <si>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</si>
  <si>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</si>
  <si>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</si>
  <si>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</si>
  <si>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</si>
  <si>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</si>
  <si>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</si>
  <si>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</si>
  <si>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</si>
  <si>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</si>
  <si>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</si>
  <si>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</si>
  <si>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</si>
  <si>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</si>
  <si>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</si>
  <si>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</si>
  <si>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</si>
  <si>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</si>
  <si>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</si>
  <si>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</si>
  <si>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</si>
  <si>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</si>
  <si>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</si>
  <si>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</si>
  <si>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</si>
  <si>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</si>
  <si>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</si>
  <si>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</si>
  <si>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</si>
  <si>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</si>
  <si>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</si>
  <si>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</si>
  <si>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</si>
  <si>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</si>
  <si>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</si>
  <si>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</si>
  <si>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</si>
  <si>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</si>
  <si>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</si>
  <si>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</si>
  <si>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</si>
  <si>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</si>
  <si>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</si>
  <si>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</si>
  <si>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</si>
  <si>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</si>
  <si>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</si>
  <si>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</si>
  <si>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</si>
  <si>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</si>
  <si>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</si>
  <si>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</si>
  <si>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</si>
  <si>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</si>
  <si>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</si>
  <si>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</si>
  <si>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</si>
  <si>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</si>
  <si>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</si>
  <si>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</si>
  <si>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</si>
  <si>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</si>
  <si>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</si>
  <si>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</si>
  <si>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</si>
  <si>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</si>
  <si>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</si>
  <si>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</si>
  <si>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</si>
  <si>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</si>
  <si>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</si>
  <si>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</si>
  <si>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</si>
  <si>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</si>
  <si>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</si>
  <si>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</si>
  <si>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</si>
  <si>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</si>
  <si>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</si>
  <si>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</si>
  <si>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</si>
  <si>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</si>
  <si>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</si>
  <si>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</si>
  <si>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</si>
  <si>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</si>
  <si>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</si>
  <si>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</si>
  <si>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</si>
  <si>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</si>
  <si>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</si>
  <si>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</si>
  <si>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</si>
  <si>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</si>
  <si>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</si>
  <si>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</si>
  <si>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</si>
  <si>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</si>
  <si>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</si>
  <si>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</si>
  <si>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</si>
  <si>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</si>
  <si>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</si>
  <si>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</si>
  <si>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</si>
  <si>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</si>
  <si>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</si>
  <si>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</si>
  <si>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</si>
  <si>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</si>
  <si>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</si>
  <si>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</si>
  <si>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</si>
  <si>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</si>
  <si>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</si>
  <si>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</si>
  <si>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</si>
  <si>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</si>
  <si>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</si>
  <si>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</si>
  <si>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</si>
  <si>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</si>
  <si>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</si>
  <si>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</si>
  <si>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</si>
  <si>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</si>
  <si>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</si>
  <si>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</si>
  <si>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</si>
  <si>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</si>
  <si>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</si>
  <si>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</si>
  <si>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</si>
  <si>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</si>
  <si>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</si>
  <si>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</si>
  <si>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</si>
  <si>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</si>
  <si>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</si>
  <si>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</si>
  <si>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</si>
  <si>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</si>
  <si>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</si>
  <si>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</si>
  <si>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</si>
  <si>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</si>
  <si>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</si>
  <si>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</si>
  <si>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</si>
  <si>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</si>
  <si>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</si>
  <si>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</si>
  <si>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</si>
  <si>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</si>
  <si>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</si>
  <si>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</si>
  <si>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</si>
  <si>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</si>
  <si>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</si>
  <si>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</si>
  <si>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</si>
  <si>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</si>
  <si>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</si>
  <si>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</si>
  <si>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</si>
  <si>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</si>
  <si>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</si>
  <si>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</si>
  <si>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</si>
  <si>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</si>
  <si>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</si>
  <si>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</si>
  <si>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</si>
  <si>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</si>
  <si>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</si>
  <si>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</si>
  <si>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</si>
  <si>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</si>
  <si>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</si>
  <si>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</si>
  <si>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</si>
  <si>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</si>
  <si>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</si>
  <si>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</si>
  <si>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</si>
  <si>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</si>
  <si>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</si>
  <si>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</si>
  <si>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</si>
  <si>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</si>
  <si>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</si>
  <si>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</si>
  <si>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</si>
  <si>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</si>
  <si>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</si>
  <si>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</si>
  <si>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</si>
  <si>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</si>
  <si>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</si>
  <si>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</si>
  <si>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</si>
  <si>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</si>
  <si>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</si>
  <si>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</si>
  <si>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</si>
  <si>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</si>
  <si>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</si>
  <si>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</si>
  <si>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</si>
  <si>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</si>
  <si>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</si>
  <si>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</si>
  <si>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</si>
  <si>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</si>
  <si>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</si>
  <si>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</si>
  <si>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</si>
  <si>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</si>
  <si>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</si>
  <si>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</si>
  <si>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</si>
  <si>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</si>
  <si>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</si>
  <si>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</si>
  <si>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</si>
  <si>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</si>
  <si>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</si>
  <si>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</si>
  <si>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</si>
  <si>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</si>
  <si>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</si>
  <si>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</si>
  <si>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</si>
  <si>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</si>
  <si>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</si>
  <si>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</si>
  <si>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</si>
  <si>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</si>
  <si>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</si>
  <si>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</si>
  <si>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</si>
  <si>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</si>
  <si>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</si>
  <si>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</si>
  <si>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</si>
  <si>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</si>
  <si>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</si>
  <si>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</si>
  <si>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</si>
  <si>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</si>
  <si>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</si>
  <si>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</si>
  <si>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</si>
  <si>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</si>
  <si>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</si>
  <si>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</si>
  <si>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</si>
  <si>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</si>
  <si>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</si>
  <si>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</si>
  <si>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</si>
  <si>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</si>
  <si>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</si>
  <si>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</si>
  <si>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</si>
  <si>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</si>
  <si>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</si>
  <si>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</si>
  <si>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</si>
  <si>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</si>
  <si>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</si>
  <si>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</si>
  <si>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</si>
  <si>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</si>
  <si>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</si>
  <si>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</si>
  <si>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</si>
  <si>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</si>
  <si>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</si>
  <si>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</si>
  <si>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</si>
  <si>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</si>
  <si>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</si>
  <si>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</si>
  <si>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</si>
  <si>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</si>
  <si>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</si>
  <si>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</si>
  <si>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</si>
  <si>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</si>
  <si>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</si>
  <si>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</si>
  <si>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</si>
  <si>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</si>
  <si>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</si>
  <si>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</si>
  <si>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</si>
  <si>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</si>
  <si>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</si>
  <si>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</si>
  <si>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</si>
  <si>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</si>
  <si>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</si>
  <si>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</si>
  <si>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</si>
  <si>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</si>
  <si>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</si>
  <si>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</si>
  <si>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</si>
  <si>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</si>
  <si>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</si>
  <si>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</si>
  <si>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</si>
  <si>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</si>
  <si>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</si>
  <si>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</si>
  <si>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</si>
  <si>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</si>
  <si>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</si>
  <si>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</si>
  <si>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</si>
  <si>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</si>
  <si>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</si>
  <si>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</si>
  <si>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</si>
  <si>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</si>
  <si>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</si>
  <si>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</si>
  <si>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</si>
  <si>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</si>
  <si>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</si>
  <si>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</si>
  <si>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</si>
  <si>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</si>
  <si>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</si>
  <si>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</si>
  <si>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</si>
  <si>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</si>
  <si>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</si>
  <si>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</si>
  <si>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</si>
  <si>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</si>
  <si>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</si>
  <si>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</si>
  <si>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</si>
  <si>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</si>
  <si>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</si>
  <si>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</si>
  <si>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</si>
  <si>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</si>
  <si>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</si>
  <si>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</si>
  <si>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</si>
  <si>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</si>
  <si>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</si>
  <si>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</si>
  <si>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</si>
  <si>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</si>
  <si>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</si>
  <si>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</si>
  <si>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</si>
  <si>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</si>
  <si>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</si>
  <si>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</si>
  <si>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</si>
  <si>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</si>
  <si>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</si>
  <si>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</si>
  <si>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</si>
  <si>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</si>
  <si>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</si>
  <si>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</si>
  <si>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</si>
  <si>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</si>
  <si>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</si>
  <si>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</si>
  <si>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</si>
  <si>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</si>
  <si>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</si>
  <si>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</si>
  <si>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</si>
  <si>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</si>
  <si>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</si>
  <si>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</si>
  <si>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</si>
  <si>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</si>
  <si>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</si>
  <si>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</si>
  <si>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</si>
  <si>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</si>
  <si>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</si>
  <si>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</si>
  <si>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</si>
  <si>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</si>
  <si>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</si>
  <si>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</si>
  <si>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</si>
  <si>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</si>
  <si>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</si>
  <si>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</si>
  <si>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</si>
  <si>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</si>
  <si>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</si>
  <si>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</si>
  <si>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</si>
  <si>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</si>
  <si>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</si>
  <si>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</si>
  <si>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</si>
  <si>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</si>
  <si>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</si>
  <si>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</si>
  <si>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</si>
  <si>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</si>
  <si>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</si>
  <si>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</si>
  <si>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</si>
  <si>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</si>
  <si>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</si>
  <si>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</si>
  <si>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</si>
  <si>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</si>
  <si>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</si>
  <si>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</si>
  <si>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</si>
  <si>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</si>
  <si>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</si>
  <si>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</si>
  <si>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</si>
  <si>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</si>
  <si>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</si>
  <si>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</si>
  <si>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</si>
  <si>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</si>
  <si>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</si>
  <si>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</si>
  <si>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</si>
  <si>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</si>
  <si>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</si>
  <si>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</si>
  <si>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</si>
  <si>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</si>
  <si>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</si>
  <si>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</si>
  <si>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</si>
  <si>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</si>
  <si>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</si>
  <si>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</si>
  <si>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</si>
  <si>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</si>
  <si>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</si>
  <si>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</si>
  <si>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</si>
  <si>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</si>
  <si>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</si>
  <si>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</si>
  <si>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</si>
  <si>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</si>
  <si>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</si>
  <si>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</si>
  <si>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</si>
  <si>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</si>
  <si>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</si>
  <si>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</si>
  <si>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</si>
  <si>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</si>
  <si>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</si>
  <si>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</si>
  <si>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</si>
  <si>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</si>
  <si>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</si>
  <si>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</si>
  <si>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</si>
  <si>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</si>
  <si>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</si>
  <si>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</si>
  <si>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</si>
  <si>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</si>
  <si>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</si>
  <si>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</si>
  <si>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</si>
  <si>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</si>
  <si>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</si>
  <si>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</si>
  <si>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</si>
  <si>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</si>
  <si>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</si>
  <si>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</si>
  <si>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</si>
  <si>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</si>
  <si>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</si>
  <si>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</si>
  <si>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</si>
  <si>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</si>
  <si>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</si>
  <si>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</si>
  <si>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</si>
  <si>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</si>
  <si>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</si>
  <si>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</si>
  <si>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</si>
  <si>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</si>
  <si>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</si>
  <si>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</si>
  <si>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</si>
  <si>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</si>
  <si>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</si>
  <si>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</si>
  <si>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</si>
  <si>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</si>
  <si>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</si>
  <si>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</si>
  <si>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</si>
  <si>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</si>
  <si>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</si>
  <si>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</si>
  <si>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</si>
  <si>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</si>
  <si>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</si>
  <si>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</si>
  <si>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</si>
  <si>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</si>
  <si>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</si>
  <si>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</si>
  <si>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</si>
  <si>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</si>
  <si>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</si>
  <si>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</si>
  <si>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</si>
  <si>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</si>
  <si>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</si>
  <si>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</si>
  <si>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</si>
  <si>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</si>
  <si>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</si>
  <si>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</si>
  <si>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</si>
  <si>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</si>
  <si>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</si>
  <si>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</si>
  <si>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</si>
  <si>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</si>
  <si>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</si>
  <si>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</si>
  <si>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</si>
  <si>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</si>
  <si>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</si>
  <si>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</si>
  <si>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</si>
  <si>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</si>
  <si>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</si>
  <si>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</si>
  <si>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</si>
  <si>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</si>
  <si>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</si>
  <si>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</si>
  <si>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</si>
  <si>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</si>
  <si>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</si>
  <si>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</si>
  <si>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</si>
  <si>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</si>
  <si>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</si>
  <si>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</si>
  <si>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</si>
  <si>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</si>
  <si>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</si>
  <si>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</si>
  <si>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</si>
  <si>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</si>
  <si>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</si>
  <si>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</si>
  <si>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</si>
  <si>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</si>
  <si>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</si>
  <si>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</si>
  <si>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</si>
  <si>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</si>
  <si>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</si>
  <si>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</si>
  <si>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</si>
  <si>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</si>
  <si>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</si>
  <si>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</si>
  <si>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</si>
  <si>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</si>
  <si>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</si>
  <si>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</si>
  <si>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</si>
  <si>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</si>
  <si>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</si>
  <si>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</si>
  <si>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</si>
  <si>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</si>
  <si>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</si>
  <si>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</si>
  <si>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</si>
  <si>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</si>
  <si>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</si>
  <si>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</si>
  <si>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</si>
  <si>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</si>
  <si>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</si>
  <si>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</si>
  <si>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</si>
  <si>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</si>
  <si>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</si>
  <si>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</si>
  <si>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</si>
  <si>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</si>
  <si>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</si>
  <si>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</si>
  <si>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</si>
  <si>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</si>
  <si>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</si>
  <si>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</si>
  <si>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</si>
  <si>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</si>
  <si>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</si>
  <si>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</si>
  <si>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</si>
  <si>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</si>
  <si>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</si>
  <si>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</si>
  <si>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</si>
  <si>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</si>
  <si>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</si>
  <si>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</si>
  <si>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</si>
  <si>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</si>
  <si>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</si>
  <si>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</si>
  <si>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</si>
  <si>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</si>
  <si>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</si>
  <si>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</si>
  <si>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</si>
  <si>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</si>
  <si>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</si>
  <si>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</si>
  <si>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</si>
  <si>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</si>
  <si>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</si>
  <si>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</si>
  <si>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</si>
  <si>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</si>
  <si>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</si>
  <si>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</si>
  <si>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</si>
  <si>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</si>
  <si>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</si>
  <si>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</si>
  <si>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</si>
  <si>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</si>
  <si>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</si>
  <si>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</si>
  <si>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</si>
  <si>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</si>
  <si>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</si>
  <si>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</si>
  <si>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</si>
  <si>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</si>
  <si>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</si>
  <si>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</si>
  <si>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</si>
  <si>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</si>
  <si>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</si>
  <si>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</si>
  <si>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</si>
  <si>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</si>
  <si>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</si>
  <si>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</si>
  <si>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</si>
  <si>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</si>
  <si>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</si>
  <si>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</si>
  <si>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</si>
  <si>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</si>
  <si>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</si>
  <si>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</si>
  <si>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</si>
  <si>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</si>
  <si>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</si>
  <si>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</si>
  <si>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</si>
  <si>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</si>
  <si>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</si>
  <si>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</si>
  <si>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</si>
  <si>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</si>
  <si>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</si>
  <si>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</si>
  <si>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</si>
  <si>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</si>
  <si>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</si>
  <si>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</si>
  <si>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</si>
  <si>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</si>
  <si>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</si>
  <si>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</si>
  <si>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</si>
  <si>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</si>
  <si>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</si>
  <si>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</si>
  <si>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</si>
  <si>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</si>
  <si>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</si>
  <si>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</si>
  <si>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</si>
  <si>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</si>
  <si>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</si>
  <si>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</si>
  <si>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</si>
  <si>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</si>
  <si>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</si>
  <si>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</si>
  <si>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</si>
  <si>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</si>
  <si>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</si>
  <si>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</si>
  <si>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</si>
  <si>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</si>
  <si>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</si>
  <si>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</si>
  <si>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</si>
  <si>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</si>
  <si>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</si>
  <si>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</si>
  <si>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</si>
  <si>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</si>
  <si>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</si>
  <si>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</si>
  <si>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</si>
  <si>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</si>
  <si>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</si>
  <si>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</si>
  <si>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</si>
  <si>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</si>
  <si>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</si>
  <si>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</si>
  <si>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</si>
  <si>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</si>
  <si>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</si>
  <si>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</si>
  <si>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</si>
  <si>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</si>
  <si>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</si>
  <si>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</si>
  <si>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</si>
  <si>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</si>
  <si>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</si>
  <si>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</si>
  <si>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</si>
  <si>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</si>
  <si>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</si>
  <si>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</si>
  <si>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</si>
  <si>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</si>
  <si>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</si>
  <si>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</si>
  <si>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</si>
  <si>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</si>
  <si>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</si>
  <si>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</si>
  <si>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</si>
  <si>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</si>
  <si>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</si>
  <si>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</si>
  <si>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</si>
  <si>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</si>
  <si>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</si>
  <si>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</si>
  <si>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</si>
  <si>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</si>
  <si>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</si>
  <si>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</si>
  <si>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</si>
  <si>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</si>
  <si>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</si>
  <si>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</si>
  <si>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</si>
  <si>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</si>
  <si>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</si>
  <si>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</si>
  <si>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</si>
  <si>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</si>
  <si>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</si>
  <si>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</si>
  <si>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</si>
  <si>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</si>
  <si>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</si>
  <si>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</si>
  <si>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</si>
  <si>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</si>
  <si>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</si>
  <si>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</si>
  <si>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</si>
  <si>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</si>
  <si>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</si>
  <si>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</si>
  <si>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</si>
  <si>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</si>
  <si>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</si>
  <si>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</si>
  <si>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</si>
  <si>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</si>
  <si>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</si>
  <si>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</si>
  <si>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</si>
  <si>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</si>
  <si>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</si>
  <si>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</si>
  <si>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</si>
  <si>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</si>
  <si>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</si>
  <si>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</si>
  <si>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</si>
  <si>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</si>
  <si>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</si>
  <si>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</si>
  <si>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</si>
  <si>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</si>
  <si>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</si>
  <si>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</si>
  <si>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</si>
  <si>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</si>
  <si>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</si>
  <si>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</si>
  <si>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</si>
  <si>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</si>
  <si>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</si>
  <si>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</si>
  <si>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</si>
  <si>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</si>
  <si>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</si>
  <si>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</si>
  <si>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</si>
  <si>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</si>
  <si>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</si>
  <si>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</si>
  <si>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</si>
  <si>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</si>
  <si>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</si>
  <si>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</si>
  <si>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</si>
  <si>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</si>
  <si>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</si>
  <si>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</si>
  <si>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</si>
  <si>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</si>
  <si>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</si>
  <si>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</si>
  <si>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</si>
  <si>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</si>
  <si>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</si>
  <si>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</si>
  <si>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</si>
  <si>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</si>
  <si>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</si>
  <si>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</si>
  <si>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</si>
  <si>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</si>
  <si>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</si>
  <si>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</si>
  <si>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</si>
  <si>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</si>
  <si>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</si>
  <si>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</si>
  <si>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</si>
  <si>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</si>
  <si>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</si>
  <si>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</si>
  <si>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</si>
  <si>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</si>
  <si>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</si>
  <si>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</si>
  <si>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</si>
  <si>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</si>
  <si>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</si>
  <si>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</si>
  <si>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</si>
  <si>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</si>
  <si>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</si>
  <si>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</si>
  <si>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</si>
  <si>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</si>
  <si>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</si>
  <si>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</si>
  <si>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</si>
  <si>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>1izc2O-y8mJVQ3K10fuABG6HmyZPC3J6Q</t>
  </si>
  <si>
    <t>https://drive.google.com/file/d/1izc2O-y8mJVQ3K10fuABG6HmyZPC3J6Q/view?usp=drivesdk</t>
  </si>
  <si>
    <t xml:space="preserve">Ms. Rajshri Patel-Pharmacology-I</t>
  </si>
  <si>
    <t xml:space="preserve">Document successfully created; Document successfully merged; PDF created; Manually run by nirmita.patel27183@paruluniversity.ac.in; Timestamp: Apr 29 2026 12:43 AM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</si>
  <si>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</si>
  <si>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</si>
  <si>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</si>
  <si>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</si>
  <si>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</si>
  <si>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</si>
  <si>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</si>
  <si>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</si>
  <si>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</si>
  <si>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</si>
  <si>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</si>
  <si>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</si>
  <si>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</si>
  <si>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</si>
  <si>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</si>
  <si>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</si>
  <si>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</si>
  <si>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</si>
  <si>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</si>
  <si>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</si>
  <si>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</si>
  <si>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</si>
  <si>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</si>
  <si>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</si>
  <si>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</si>
  <si>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</si>
  <si>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</si>
  <si>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</si>
  <si>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</si>
  <si>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</si>
  <si>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</si>
  <si>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</si>
  <si>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</si>
  <si>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</si>
  <si>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</si>
  <si>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</si>
  <si>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</si>
  <si>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</si>
  <si>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</si>
  <si>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</si>
  <si>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</si>
  <si>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</si>
  <si>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</si>
  <si>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</si>
  <si>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</si>
  <si>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</si>
  <si>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</si>
  <si>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</si>
  <si>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</si>
  <si>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</si>
  <si>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</si>
  <si>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</si>
  <si>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</si>
  <si>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</si>
  <si>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</si>
  <si>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</si>
  <si>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</si>
  <si>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</si>
  <si>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</si>
  <si>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</si>
  <si>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</si>
  <si>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</si>
  <si>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</si>
  <si>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</si>
  <si>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</si>
  <si>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</si>
  <si>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</si>
  <si>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</si>
  <si>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</si>
  <si>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</si>
  <si>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</si>
  <si>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</si>
  <si>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</si>
  <si>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</si>
  <si>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</si>
  <si>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</si>
  <si>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</si>
  <si>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</si>
  <si>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</si>
  <si>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</si>
  <si>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</si>
  <si>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</si>
  <si>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</si>
  <si>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</si>
  <si>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</si>
  <si>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</si>
  <si>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</si>
  <si>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</si>
  <si>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</si>
  <si>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</si>
  <si>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</si>
  <si>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</si>
  <si>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</si>
  <si>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</si>
  <si>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</si>
  <si>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</si>
  <si>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</si>
  <si>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</si>
  <si>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</si>
  <si>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</si>
  <si>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</si>
  <si>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</si>
  <si>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</si>
  <si>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</si>
  <si>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</si>
  <si>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</si>
  <si>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</si>
  <si>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</si>
  <si>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</si>
  <si>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</si>
  <si>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</si>
  <si>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</si>
  <si>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</si>
  <si>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</si>
  <si>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</si>
  <si>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</si>
  <si>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</si>
  <si>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</si>
  <si>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</si>
  <si>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</si>
  <si>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</si>
  <si>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</si>
  <si>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</si>
  <si>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</si>
  <si>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</si>
  <si>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</si>
  <si>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</si>
  <si>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</si>
  <si>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</si>
  <si>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</si>
  <si>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</si>
  <si>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</si>
  <si>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</si>
  <si>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</si>
  <si>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</si>
  <si>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</si>
  <si>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</si>
  <si>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</si>
  <si>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</si>
  <si>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</si>
  <si>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</si>
  <si>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</si>
  <si>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</si>
  <si>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</si>
  <si>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</si>
  <si>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</si>
  <si>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</si>
  <si>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</si>
  <si>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</si>
  <si>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</si>
  <si>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</si>
  <si>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</si>
  <si>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</si>
  <si>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</si>
  <si>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</si>
  <si>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</si>
  <si>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</si>
  <si>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</si>
  <si>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</si>
  <si>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</si>
  <si>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</si>
  <si>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</si>
  <si>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</si>
  <si>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</si>
  <si>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</si>
  <si>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</si>
  <si>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</si>
  <si>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</si>
  <si>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</si>
  <si>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</si>
  <si>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</si>
  <si>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</si>
  <si>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</si>
  <si>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</si>
  <si>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</si>
  <si>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</si>
  <si>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</si>
  <si>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</si>
  <si>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</si>
  <si>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</si>
  <si>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</si>
  <si>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</si>
  <si>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</si>
  <si>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</si>
  <si>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</si>
  <si>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</si>
  <si>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</si>
  <si>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</si>
  <si>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</si>
  <si>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</si>
  <si>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</si>
  <si>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</si>
  <si>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</si>
  <si>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</si>
  <si>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</si>
  <si>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</si>
  <si>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</si>
  <si>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</si>
  <si>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</si>
  <si>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</si>
  <si>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</si>
  <si>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</si>
  <si>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</si>
  <si>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</si>
  <si>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</si>
  <si>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</si>
  <si>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</si>
  <si>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</si>
  <si>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</si>
  <si>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</si>
  <si>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</si>
  <si>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</si>
  <si>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</si>
  <si>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</si>
  <si>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</si>
  <si>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</si>
  <si>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</si>
  <si>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</si>
  <si>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</si>
  <si>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</si>
  <si>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</si>
  <si>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</si>
  <si>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</si>
  <si>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</si>
  <si>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</si>
  <si>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</si>
  <si>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</si>
  <si>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</si>
  <si>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</si>
  <si>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</si>
  <si>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</si>
  <si>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</si>
  <si>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Ar. Kapil Dev Khandelwal</t>
  </si>
  <si>
    <t xml:space="preserve">Emerging Materials in Interior Design</t>
  </si>
  <si>
    <t>2526ECD0505</t>
  </si>
  <si>
    <t>1ott_ZOqnxyV-8rkdjTKQhn2fGH6bgE63</t>
  </si>
  <si>
    <t>https://drive.google.com/file/d/1ott_ZOqnxyV-8rkdjTKQhn2fGH6bgE63/view?usp=drivesdk</t>
  </si>
  <si>
    <t xml:space="preserve">Ar. Kapil Dev Khandelwal-Emerging Materials in Interior Design</t>
  </si>
  <si>
    <t xml:space="preserve">Document successfully created; Document successfully merged; PDF created; Manually run by nirmita.patel27183@paruluniversity.ac.in; Timestamp: May 2 2026 6:06 AM</t>
  </si>
  <si>
    <t xml:space="preserve">Environmental Science - II</t>
  </si>
  <si>
    <t>2526ECD0506</t>
  </si>
  <si>
    <t>1xiXhrubmEwEGugkqPPzERQ3PETlQjs5E</t>
  </si>
  <si>
    <t>https://drive.google.com/file/d/1xiXhrubmEwEGugkqPPzERQ3PETlQjs5E/view?usp=drivesdk</t>
  </si>
  <si>
    <t xml:space="preserve">Ar. Kapil Dev Khandelwal-Environmental Science - II</t>
  </si>
  <si>
    <t xml:space="preserve">Ar. Krishna Bhavesh Rajeshirke</t>
  </si>
  <si>
    <t xml:space="preserve">Elective Inclusive Urban Planning</t>
  </si>
  <si>
    <t>2526ECD0507</t>
  </si>
  <si>
    <t>1tOQvj9MTe26sJmw-n-S1Cd_zUjC0FOYi</t>
  </si>
  <si>
    <t>https://drive.google.com/file/d/1tOQvj9MTe26sJmw-n-S1Cd_zUjC0FOYi/view?usp=drivesdk</t>
  </si>
  <si>
    <t xml:space="preserve">Ar. Krishna Bhavesh Rajeshirke-Elective Inclusive Urban Planning</t>
  </si>
  <si>
    <t xml:space="preserve">Legal Issues and Professional Practice</t>
  </si>
  <si>
    <t>2526ECD0508</t>
  </si>
  <si>
    <t>1ODoUxM1FYQId4HpN310razikVEDTrX_X</t>
  </si>
  <si>
    <t>https://drive.google.com/file/d/1ODoUxM1FYQId4HpN310razikVEDTrX_X/view?usp=drivesdk</t>
  </si>
  <si>
    <t xml:space="preserve">Ar. Krishna Bhavesh Rajeshirke-Legal Issues and Professional Practice</t>
  </si>
  <si>
    <t xml:space="preserve">Ar. Naina Kapadiya</t>
  </si>
  <si>
    <t xml:space="preserve">Architectural Drawings - II</t>
  </si>
  <si>
    <t>2526ECD0509</t>
  </si>
  <si>
    <t>1SiA81GmHA4jFhpNdwgS597FywGRV1OQl</t>
  </si>
  <si>
    <t>https://drive.google.com/file/d/1SiA81GmHA4jFhpNdwgS597FywGRV1OQl/view?usp=drivesdk</t>
  </si>
  <si>
    <t xml:space="preserve">Ar. Naina Kapadiya-Architectural Drawings - II</t>
  </si>
  <si>
    <t xml:space="preserve">Architectural Drawings - IV</t>
  </si>
  <si>
    <t>2526ECD0510</t>
  </si>
  <si>
    <t>1_DFXbNnym62cr4k-jAy_kksM5r_smoUF</t>
  </si>
  <si>
    <t>https://drive.google.com/file/d/1_DFXbNnym62cr4k-jAy_kksM5r_smoUF/view?usp=drivesdk</t>
  </si>
  <si>
    <t xml:space="preserve">Ar. Naina Kapadiya-Architectural Drawings - IV</t>
  </si>
  <si>
    <t xml:space="preserve">Ar. Sanjay D. Pitroda</t>
  </si>
  <si>
    <t xml:space="preserve">Building Materials and Construction</t>
  </si>
  <si>
    <t>2526ECD0511</t>
  </si>
  <si>
    <t>1m56F-GPeO5Pk9qHDhq59qtDhwNE_lhea</t>
  </si>
  <si>
    <t>https://drive.google.com/file/d/1m56F-GPeO5Pk9qHDhq59qtDhwNE_lhea/view?usp=drivesdk</t>
  </si>
  <si>
    <t xml:space="preserve">Ar. Sanjay D. Pitroda-Building Materials and Construction</t>
  </si>
  <si>
    <t xml:space="preserve">Dr. Gautam Patil</t>
  </si>
  <si>
    <t xml:space="preserve">Introduction to Areas of Social Work Practice</t>
  </si>
  <si>
    <t>2526ECD0512</t>
  </si>
  <si>
    <t>1lQQWy6e1TI2uinJkCDMxLJshDXNB43P6</t>
  </si>
  <si>
    <t>https://drive.google.com/file/d/1lQQWy6e1TI2uinJkCDMxLJshDXNB43P6/view?usp=drivesdk</t>
  </si>
  <si>
    <t xml:space="preserve">Dr. Gautam Patil-Introduction to Areas of Social Work Practice</t>
  </si>
  <si>
    <t xml:space="preserve">Document successfully created; Document successfully merged; PDF created; Manually run by kinnari.mishra12751@paruluniversity.ac.in; Timestamp: May 5 2026 4:24 AM</t>
  </si>
  <si>
    <t xml:space="preserve">Dr. Prem Pal Singh</t>
  </si>
  <si>
    <t xml:space="preserve">Digital Communication</t>
  </si>
  <si>
    <t>2526ECD0513</t>
  </si>
  <si>
    <t>1E4fmVDYR-_a0mzJsPS-4HS8Do9R7Hqo7</t>
  </si>
  <si>
    <t>https://drive.google.com/file/d/1E4fmVDYR-_a0mzJsPS-4HS8Do9R7Hqo7/view?usp=drivesdk</t>
  </si>
  <si>
    <t xml:space="preserve">Dr. Prem Pal Singh-Digital Communication</t>
  </si>
  <si>
    <t xml:space="preserve">Document successfully created; Document successfully merged; PDF created; Manually run by kinnari.mishra12751@paruluniversity.ac.in; Timestamp: May 6 2026 12:45 AM</t>
  </si>
  <si>
    <t xml:space="preserve">Dr. Swati A Sharma</t>
  </si>
  <si>
    <t xml:space="preserve">Digital Electronics</t>
  </si>
  <si>
    <t>2526ECD0514</t>
  </si>
  <si>
    <t>18dphAqMu_vjeKH62j2rIJi27VoVITkcb</t>
  </si>
  <si>
    <t>https://drive.google.com/file/d/18dphAqMu_vjeKH62j2rIJi27VoVITkcb/view?usp=drivesdk</t>
  </si>
  <si>
    <t xml:space="preserve">Dr. Swati A Sharma-Digital Electronics</t>
  </si>
  <si>
    <t xml:space="preserve">Mr. Satish Makadiya</t>
  </si>
  <si>
    <t xml:space="preserve">Social Legislation</t>
  </si>
  <si>
    <t>2526ECD0515</t>
  </si>
  <si>
    <t>1oa47-JZHYM_yh51ahhexU4TG9k-uzMA_</t>
  </si>
  <si>
    <t>https://drive.google.com/file/d/1oa47-JZHYM_yh51ahhexU4TG9k-uzMA_/view?usp=drivesdk</t>
  </si>
  <si>
    <t xml:space="preserve">Mr. Satish Makadiya-Social Legislation</t>
  </si>
  <si>
    <t xml:space="preserve">Document successfully created; Document successfully merged; PDF created; Manually run by kinnari.mishra12751@paruluniversity.ac.in; Timestamp: May 6 2026 4:30 AM</t>
  </si>
  <si>
    <t xml:space="preserve">Dr. Dipak Makwana</t>
  </si>
  <si>
    <t xml:space="preserve"> Life Skills Education</t>
  </si>
  <si>
    <t>2526ECD0516</t>
  </si>
  <si>
    <t>17ppfeT9X6WaokByxYGiknL3ae8ROT4wf</t>
  </si>
  <si>
    <t>https://drive.google.com/file/d/17ppfeT9X6WaokByxYGiknL3ae8ROT4wf/view?usp=drivesdk</t>
  </si>
  <si>
    <t xml:space="preserve">Dr. Dipak Makwana- Life Skills Education</t>
  </si>
  <si>
    <t xml:space="preserve">Document successfully created; Document successfully merged; PDF created; Manually run by kinnari.mishra12751@paruluniversity.ac.in; Timestamp: May 6 2026 5:01 AM</t>
  </si>
  <si>
    <t xml:space="preserve">Dr.Mukesh Laichattiwar</t>
  </si>
  <si>
    <t xml:space="preserve">Pest management in Crops and Stored Grains</t>
  </si>
  <si>
    <t>2526ECD0517</t>
  </si>
  <si>
    <t>1lwmryE7UbEPWtUBEcOS0t-3zH2ZQj7Sh</t>
  </si>
  <si>
    <t>https://drive.google.com/file/d/1lwmryE7UbEPWtUBEcOS0t-3zH2ZQj7Sh/view?usp=drivesdk</t>
  </si>
  <si>
    <t xml:space="preserve">Dr.Mukesh Laichattiwar-Pest management in Crops and Stored Grains</t>
  </si>
  <si>
    <t xml:space="preserve">Document successfully created; Document successfully merged; PDF created; Manually run by kinnari.mishra12751@paruluniversity.ac.in; Timestamp: May 8 2026 12:21 AM</t>
  </si>
  <si>
    <t xml:space="preserve">Ar. Aparna Bhattacharyya</t>
  </si>
  <si>
    <t xml:space="preserve">Architecture and Environment - II</t>
  </si>
  <si>
    <t>2526ECD0518</t>
  </si>
  <si>
    <t>1OQhjcYgnFPkYBckHu83-VYf8XqdSnkoM</t>
  </si>
  <si>
    <t>https://drive.google.com/file/d/1OQhjcYgnFPkYBckHu83-VYf8XqdSnkoM/view?usp=drivesdk</t>
  </si>
  <si>
    <t xml:space="preserve">Ar. Aparna Bhattacharyya-Architecture and Environment - II</t>
  </si>
  <si>
    <t xml:space="preserve">Document successfully created; Document successfully merged; PDF created; Manually run by nirmita.patel27183@paruluniversity.ac.in; Timestamp: May 8 2026 1:27 AM</t>
  </si>
  <si>
    <t xml:space="preserve">Evolution of Architecture-IV</t>
  </si>
  <si>
    <t>2526ECD0519</t>
  </si>
  <si>
    <t>1T47_dCf8SixyCqPSnrLbNHrFHPH0EBYQ</t>
  </si>
  <si>
    <t>https://drive.google.com/file/d/1T47_dCf8SixyCqPSnrLbNHrFHPH0EBYQ/view?usp=drivesdk</t>
  </si>
  <si>
    <t xml:space="preserve">Ar. Aparna Bhattacharyya-Evolution of Architecture-IV</t>
  </si>
  <si>
    <t xml:space="preserve">Ar. Jubin Kashyap</t>
  </si>
  <si>
    <t>2526ECD0520</t>
  </si>
  <si>
    <t>1M_e9j-WCYCGhjxBHkulGR-5z4Bec083m</t>
  </si>
  <si>
    <t>https://drive.google.com/file/d/1M_e9j-WCYCGhjxBHkulGR-5z4Bec083m/view?usp=drivesdk</t>
  </si>
  <si>
    <t xml:space="preserve">Ar. Jubin Kashyap-Professional Practice in Design</t>
  </si>
  <si>
    <t xml:space="preserve">Professional Practice</t>
  </si>
  <si>
    <t>2526ECD0521</t>
  </si>
  <si>
    <t>1lUzxYxe-9lKupjVJV6tjGIRUQLoqwYWe</t>
  </si>
  <si>
    <t>https://drive.google.com/file/d/1lUzxYxe-9lKupjVJV6tjGIRUQLoqwYWe/view?usp=drivesdk</t>
  </si>
  <si>
    <t xml:space="preserve">Ar. Jubin Kashyap-Professional Practice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</si>
  <si>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</si>
  <si>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</si>
  <si>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</si>
  <si>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</si>
  <si>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</si>
  <si>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</si>
  <si>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</si>
  <si>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</si>
  <si>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</si>
  <si>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</si>
  <si>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</si>
  <si>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</si>
  <si>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</si>
  <si>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</si>
  <si>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</si>
  <si>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</si>
  <si>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</si>
  <si>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</si>
  <si>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</si>
  <si>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</si>
  <si>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</si>
  <si>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</si>
  <si>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</si>
  <si>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</si>
  <si>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</si>
  <si>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</si>
  <si>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</si>
  <si>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</si>
  <si>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</si>
  <si>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</si>
  <si>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</si>
  <si>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</si>
  <si>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</si>
  <si>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</si>
  <si>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</si>
  <si>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</si>
  <si>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</si>
  <si>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</si>
  <si>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</si>
  <si>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</si>
  <si>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</si>
  <si>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</si>
  <si>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</si>
  <si>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</si>
  <si>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</si>
  <si>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</si>
  <si>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</si>
  <si>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</si>
  <si>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</si>
  <si>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</si>
  <si>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</si>
  <si>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</si>
  <si>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</si>
  <si>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</si>
  <si>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</si>
  <si>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</si>
  <si>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</si>
  <si>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</si>
  <si>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</si>
  <si>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</si>
  <si>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</si>
  <si>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</si>
  <si>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</si>
  <si>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</si>
  <si>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</si>
  <si>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</si>
  <si>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</si>
  <si>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</si>
  <si>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</si>
  <si>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</si>
  <si>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</si>
  <si>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</si>
  <si>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</si>
  <si>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</si>
  <si>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</si>
  <si>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</si>
  <si>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</si>
  <si>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</si>
  <si>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</si>
  <si>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</si>
  <si>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</si>
  <si>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</si>
  <si>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</si>
  <si>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</si>
  <si>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</si>
  <si>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</si>
  <si>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</si>
  <si>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</si>
  <si>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</si>
  <si>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</si>
  <si>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</si>
  <si>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</si>
  <si>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</si>
  <si>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</si>
  <si>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</si>
  <si>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</si>
  <si>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</si>
  <si>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</si>
  <si>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</si>
  <si>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</si>
  <si>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</si>
  <si>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</si>
  <si>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</si>
  <si>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</si>
  <si>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</si>
  <si>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</si>
  <si>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</si>
  <si>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</si>
  <si>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</si>
  <si>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</si>
  <si>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</si>
  <si>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</si>
  <si>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</si>
  <si>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</si>
  <si>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</si>
  <si>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</si>
  <si>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</si>
  <si>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</si>
  <si>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</si>
  <si>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</si>
  <si>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</si>
  <si>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</si>
  <si>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</si>
  <si>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</si>
  <si>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</si>
  <si>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</si>
  <si>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</si>
  <si>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</si>
  <si>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</si>
  <si>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</si>
  <si>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</si>
  <si>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</si>
  <si>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</si>
  <si>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</si>
  <si>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</si>
  <si>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</si>
  <si>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</si>
  <si>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</si>
  <si>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</si>
  <si>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</si>
  <si>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</si>
  <si>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</si>
  <si>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</si>
  <si>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</si>
  <si>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</si>
  <si>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</si>
  <si>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</si>
  <si>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</si>
  <si>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</si>
  <si>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</si>
  <si>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</si>
  <si>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</si>
  <si>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</si>
  <si>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</si>
  <si>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</si>
  <si>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</si>
  <si>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</si>
  <si>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</si>
  <si>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</si>
  <si>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</si>
  <si>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</si>
  <si>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</si>
  <si>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</si>
  <si>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</si>
  <si>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</si>
  <si>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</si>
  <si>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</si>
  <si>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</si>
  <si>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</si>
  <si>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</si>
  <si>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</si>
  <si>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</si>
  <si>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</si>
  <si>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</si>
  <si>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</si>
  <si>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</si>
  <si>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</si>
  <si>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</si>
  <si>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</si>
  <si>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</si>
  <si>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</si>
  <si>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</si>
  <si>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</si>
  <si>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</si>
  <si>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</si>
  <si>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</si>
  <si>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</si>
  <si>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</si>
  <si>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</si>
  <si>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</si>
  <si>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</si>
  <si>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</si>
  <si>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</si>
  <si>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</si>
  <si>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</si>
  <si>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</si>
  <si>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</si>
  <si>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</si>
  <si>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</si>
  <si>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</si>
  <si>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</si>
  <si>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</si>
  <si>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</si>
  <si>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</si>
  <si>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</si>
  <si>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</si>
  <si>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</si>
  <si>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</si>
  <si>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</si>
  <si>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</si>
  <si>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</si>
  <si>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</si>
  <si>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</si>
  <si>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</si>
  <si>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</si>
  <si>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</si>
  <si>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</si>
  <si>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</si>
  <si>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</si>
  <si>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</si>
  <si>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</si>
  <si>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</si>
  <si>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</si>
  <si>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</si>
  <si>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</si>
  <si>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</si>
  <si>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</si>
  <si>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</si>
  <si>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</si>
  <si>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</si>
  <si>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</si>
  <si>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</si>
  <si>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</si>
  <si>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</si>
  <si>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</si>
  <si>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</si>
  <si>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</si>
  <si>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</si>
  <si>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</si>
  <si>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</si>
  <si>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</si>
  <si>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</si>
  <si>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</si>
  <si>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</si>
  <si>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</si>
  <si>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</si>
  <si>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</si>
  <si>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</si>
  <si>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</si>
  <si>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</si>
  <si>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</si>
  <si>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</si>
  <si>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</si>
  <si>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</si>
  <si>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</si>
  <si>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</si>
  <si>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</si>
  <si>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</si>
  <si>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</si>
  <si>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</si>
  <si>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</si>
  <si>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</si>
  <si>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</si>
  <si>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</si>
  <si>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</si>
  <si>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</si>
  <si>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</si>
  <si>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</si>
  <si>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</si>
  <si>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</si>
  <si>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</si>
  <si>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</si>
  <si>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</si>
  <si>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</si>
  <si>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</si>
  <si>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</si>
  <si>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</si>
  <si>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</si>
  <si>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</si>
  <si>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</si>
  <si>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</si>
  <si>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</si>
  <si>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</si>
  <si>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</si>
  <si>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</si>
  <si>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</si>
  <si>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</si>
  <si>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</si>
  <si>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</si>
  <si>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</si>
  <si>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</si>
  <si>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</si>
  <si>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</si>
  <si>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</si>
  <si>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</si>
  <si>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</si>
  <si>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</si>
  <si>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</si>
  <si>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</si>
  <si>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</si>
  <si>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</si>
  <si>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</si>
  <si>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</si>
  <si>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</si>
  <si>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</si>
  <si>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</si>
  <si>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</si>
  <si>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</si>
  <si>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</si>
  <si>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</si>
  <si>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</si>
  <si>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</si>
  <si>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</si>
  <si>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</si>
  <si>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</si>
  <si>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</si>
  <si>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</si>
  <si>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</si>
  <si>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</si>
  <si>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</si>
  <si>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</si>
  <si>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</si>
  <si>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</si>
  <si>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</si>
  <si>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</si>
  <si>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</si>
  <si>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</si>
  <si>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</si>
  <si>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</si>
  <si>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</si>
  <si>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</si>
  <si>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</si>
  <si>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</si>
  <si>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</si>
  <si>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</si>
  <si>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</si>
  <si>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</si>
  <si>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</si>
  <si>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</si>
  <si>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</si>
  <si>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</si>
  <si>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</si>
  <si>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</si>
  <si>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</si>
  <si>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</si>
  <si>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</si>
  <si>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</si>
  <si>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</si>
  <si>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</si>
  <si>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</si>
  <si>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</si>
  <si>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</si>
  <si>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</si>
  <si>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</si>
  <si>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</si>
  <si>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</si>
  <si>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</si>
  <si>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</si>
  <si>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</si>
  <si>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</si>
  <si>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</si>
  <si>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</si>
  <si>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</si>
  <si>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</si>
  <si>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</si>
  <si>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</si>
  <si>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</si>
  <si>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</si>
  <si>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</si>
  <si>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</si>
  <si>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</si>
  <si>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</si>
  <si>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</si>
  <si>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</si>
  <si>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</si>
  <si>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</si>
  <si>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</si>
  <si>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</si>
  <si>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</si>
  <si>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</si>
  <si>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</si>
  <si>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</si>
  <si>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</si>
  <si>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</si>
  <si>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</si>
  <si>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</si>
  <si>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</si>
  <si>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</si>
  <si>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</si>
  <si>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</si>
  <si>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</si>
  <si>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</si>
  <si>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</si>
  <si>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</si>
  <si>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</si>
  <si>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</si>
  <si>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</si>
  <si>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</si>
  <si>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</si>
  <si>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</si>
  <si>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</si>
  <si>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</si>
  <si>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</si>
  <si>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</si>
  <si>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</si>
  <si>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</si>
  <si>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</si>
  <si>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</si>
  <si>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</si>
  <si>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</si>
  <si>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</si>
  <si>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</si>
  <si>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</si>
  <si>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</si>
  <si>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</si>
  <si>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</si>
  <si>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</si>
  <si>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</si>
  <si>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</si>
  <si>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</si>
  <si>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</si>
  <si>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</si>
  <si>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</si>
  <si>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</si>
  <si>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</si>
  <si>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</si>
  <si>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</si>
  <si>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</si>
  <si>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</si>
  <si>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</si>
  <si>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</si>
  <si>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</si>
  <si>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</si>
  <si>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</si>
  <si>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</si>
  <si>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</si>
  <si>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</si>
  <si>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</si>
  <si>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</si>
  <si>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</si>
  <si>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</si>
  <si>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</si>
  <si>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</si>
  <si>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</si>
  <si>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</si>
  <si>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</si>
  <si>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</si>
  <si>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</si>
  <si>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</si>
  <si>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</si>
  <si>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</si>
  <si>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</si>
  <si>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</si>
  <si>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</si>
  <si>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</si>
  <si>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</si>
  <si>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</si>
  <si>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</si>
  <si>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</si>
  <si>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</si>
  <si>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</si>
  <si>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</si>
  <si>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</si>
  <si>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</si>
  <si>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</si>
  <si>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</si>
  <si>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</si>
  <si>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</si>
  <si>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</si>
  <si>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</si>
  <si>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</si>
  <si>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</si>
  <si>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</si>
  <si>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</si>
  <si>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</si>
  <si>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</si>
  <si>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</si>
  <si>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</si>
  <si>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</si>
  <si>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</si>
  <si>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</si>
  <si>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</si>
  <si>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</si>
  <si>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</si>
  <si>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</si>
  <si>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</si>
  <si>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</si>
  <si>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</si>
  <si>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</si>
  <si>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</si>
  <si>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</si>
  <si>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</si>
  <si>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</si>
  <si>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</si>
  <si>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</si>
  <si>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</si>
  <si>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</si>
  <si>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</si>
  <si>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</si>
  <si>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</si>
  <si>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</si>
  <si>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</si>
  <si>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</si>
  <si>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</si>
  <si>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</si>
  <si>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</si>
  <si>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</si>
  <si>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</si>
  <si>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</si>
  <si>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</si>
  <si>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</si>
  <si>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</si>
  <si>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</si>
  <si>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</si>
  <si>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</si>
  <si>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</si>
  <si>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</si>
  <si>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</si>
  <si>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</si>
  <si>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</si>
  <si>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</si>
  <si>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</si>
  <si>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</si>
  <si>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</si>
  <si>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</si>
  <si>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</si>
  <si>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</si>
  <si>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</si>
  <si>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</si>
  <si>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</si>
  <si>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</si>
  <si>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</si>
  <si>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</si>
  <si>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</si>
  <si>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</si>
  <si>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</si>
  <si>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</si>
  <si>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</si>
  <si>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</si>
  <si>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</si>
  <si>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</si>
  <si>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</si>
  <si>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</si>
  <si>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</si>
  <si>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</si>
  <si>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</si>
  <si>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</si>
  <si>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</si>
  <si>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</si>
  <si>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</si>
  <si>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</si>
  <si>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</si>
  <si>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</si>
  <si>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</si>
  <si>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</si>
  <si>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</si>
  <si>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</si>
  <si>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</si>
  <si>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</si>
  <si>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</si>
  <si>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</si>
  <si>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</si>
  <si>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</si>
  <si>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</si>
  <si>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</si>
  <si>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</si>
  <si>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</si>
  <si>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</si>
  <si>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</si>
  <si>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</si>
  <si>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</si>
  <si>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</si>
  <si>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</si>
  <si>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</si>
  <si>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</si>
  <si>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</si>
  <si>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</si>
  <si>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</si>
  <si>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</si>
  <si>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</si>
  <si>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</si>
  <si>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</si>
  <si>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</si>
  <si>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</si>
  <si>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</si>
  <si>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</si>
  <si>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</si>
  <si>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</si>
  <si>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</si>
  <si>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</si>
  <si>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</si>
  <si>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>PIPR</t>
  </si>
  <si>
    <t xml:space="preserve">Dr. Tularam Barot</t>
  </si>
  <si>
    <t xml:space="preserve">Ms Swathi G</t>
  </si>
  <si>
    <t xml:space="preserve">Biopharmaceutics &amp; Pharmacokinetics</t>
  </si>
  <si>
    <t>1YVHFyliDEGRe-vNTVP0Wt8BC37xF1omL</t>
  </si>
  <si>
    <t>https://drive.google.com/file/d/1YVHFyliDEGRe-vNTVP0Wt8BC37xF1omL/view?usp=drivesdk</t>
  </si>
  <si>
    <t xml:space="preserve">Document successfully created; Document successfully merged; PDF created; Manually run by kinnari.mishra12751@paruluniversity.ac.in; Timestamp: May 5 2026 4:48 AM</t>
  </si>
  <si>
    <t xml:space="preserve">Dr. Mohit Buddhadev</t>
  </si>
  <si>
    <t xml:space="preserve">Dr. Priyal Patel</t>
  </si>
  <si>
    <t xml:space="preserve">Clinical Research</t>
  </si>
  <si>
    <t>1VDw44rE9HXpXw0KK2zzyKeE_swS-ShiU</t>
  </si>
  <si>
    <t>https://drive.google.com/file/d/1VDw44rE9HXpXw0KK2zzyKeE_swS-ShiU/view?usp=drivesdk</t>
  </si>
  <si>
    <t xml:space="preserve">Dr. S.P Nayak</t>
  </si>
  <si>
    <t xml:space="preserve">Dr. John Kirubakaran</t>
  </si>
  <si>
    <t xml:space="preserve">Clinical Pharmacokinetics &amp; Pharmacotherapeutic Drug Monitoring</t>
  </si>
  <si>
    <t>1ciSm0S55F2CP6xM9kGhMfiSNJU_GWvFO</t>
  </si>
  <si>
    <t>https://drive.google.com/file/d/1ciSm0S55F2CP6xM9kGhMfiSNJU_GWvFO/view?usp=drivesdk</t>
  </si>
  <si>
    <t xml:space="preserve">Dr. Bipin Shaji</t>
  </si>
  <si>
    <t>1NuzxpEn3l_LZhSXU-gEkwOuY913Wf3qK</t>
  </si>
  <si>
    <t>https://drive.google.com/file/d/1NuzxpEn3l_LZhSXU-gEkwOuY913Wf3qK/view?usp=drivesdk</t>
  </si>
  <si>
    <t xml:space="preserve">Document successfully created; Document successfully merged; PDF created; Manually run by kinnari.mishra12751@paruluniversity.ac.in; Timestamp: May 5 2026 4:49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</si>
  <si>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</si>
  <si>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</si>
  <si>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</si>
  <si>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</si>
  <si>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</si>
  <si>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</si>
  <si>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</si>
  <si>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</si>
  <si>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</si>
  <si>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</si>
  <si>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</si>
  <si>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</si>
  <si>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</si>
  <si>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</si>
  <si>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</si>
  <si>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</si>
  <si>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</si>
  <si>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</si>
  <si>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</si>
  <si>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</si>
  <si>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</si>
  <si>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</si>
  <si>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</si>
  <si>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</si>
  <si>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</si>
  <si>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</si>
  <si>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</si>
  <si>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</si>
  <si>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</si>
  <si>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</si>
  <si>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</si>
  <si>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</si>
  <si>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</si>
  <si>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</si>
  <si>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</si>
  <si>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</si>
  <si>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</si>
  <si>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</si>
  <si>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</si>
  <si>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</si>
  <si>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</si>
  <si>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</si>
  <si>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</si>
  <si>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</si>
  <si>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</si>
  <si>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</si>
  <si>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</si>
  <si>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</si>
  <si>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</si>
  <si>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</si>
  <si>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</si>
  <si>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</si>
  <si>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</si>
  <si>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</si>
  <si>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</si>
  <si>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</si>
  <si>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</si>
  <si>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</si>
  <si>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</si>
  <si>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</si>
  <si>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</si>
  <si>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</si>
  <si>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</si>
  <si>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</si>
  <si>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</si>
  <si>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</si>
  <si>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</si>
  <si>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</si>
  <si>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</si>
  <si>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</si>
  <si>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</si>
  <si>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</si>
  <si>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</si>
  <si>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</si>
  <si>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</si>
  <si>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</si>
  <si>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</si>
  <si>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</si>
  <si>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</si>
  <si>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</si>
  <si>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</si>
  <si>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</si>
  <si>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</si>
  <si>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</si>
  <si>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</si>
  <si>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</si>
  <si>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</si>
  <si>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</si>
  <si>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</si>
  <si>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</si>
  <si>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</si>
  <si>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</si>
  <si>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</si>
  <si>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</si>
  <si>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</si>
  <si>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</si>
  <si>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</si>
  <si>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</si>
  <si>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</si>
  <si>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</si>
  <si>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</si>
  <si>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</si>
  <si>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</si>
  <si>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</si>
  <si>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</si>
  <si>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</si>
  <si>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</si>
  <si>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</si>
  <si>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</si>
  <si>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</si>
  <si>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</si>
  <si>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</si>
  <si>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</si>
  <si>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</si>
  <si>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</si>
  <si>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</si>
  <si>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</si>
  <si>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</si>
  <si>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</si>
  <si>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</si>
  <si>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</si>
  <si>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</si>
  <si>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</si>
  <si>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</si>
  <si>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</si>
  <si>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</si>
  <si>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</si>
  <si>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</si>
  <si>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</si>
  <si>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</si>
  <si>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</si>
  <si>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</si>
  <si>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</si>
  <si>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</si>
  <si>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</si>
  <si>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</si>
  <si>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</si>
  <si>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</si>
  <si>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</si>
  <si>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</si>
  <si>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</si>
  <si>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</si>
  <si>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</si>
  <si>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</si>
  <si>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</si>
  <si>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</si>
  <si>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</si>
  <si>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</si>
  <si>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</si>
  <si>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</si>
  <si>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</si>
  <si>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</si>
  <si>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</si>
  <si>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</si>
  <si>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</si>
  <si>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</si>
  <si>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</si>
  <si>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</si>
  <si>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</si>
  <si>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</si>
  <si>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</si>
  <si>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</si>
  <si>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</si>
  <si>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</si>
  <si>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</si>
  <si>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</si>
  <si>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</si>
  <si>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</si>
  <si>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</si>
  <si>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</si>
  <si>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</si>
  <si>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</si>
  <si>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</si>
  <si>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</si>
  <si>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</si>
  <si>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</si>
  <si>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</si>
  <si>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</si>
  <si>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</si>
  <si>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</si>
  <si>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</si>
  <si>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</si>
  <si>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</si>
  <si>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</si>
  <si>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</si>
  <si>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</si>
  <si>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</si>
  <si>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</si>
  <si>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</si>
  <si>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</si>
  <si>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</si>
  <si>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</si>
  <si>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</si>
  <si>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</si>
  <si>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</si>
  <si>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</si>
  <si>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</si>
  <si>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</si>
  <si>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</si>
  <si>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</si>
  <si>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</si>
  <si>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</si>
  <si>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</si>
  <si>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</si>
  <si>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</si>
  <si>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</si>
  <si>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</si>
  <si>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</si>
  <si>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</si>
  <si>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</si>
  <si>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</si>
  <si>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</si>
  <si>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</si>
  <si>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</si>
  <si>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</si>
  <si>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</si>
  <si>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</si>
  <si>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</si>
  <si>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</si>
  <si>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</si>
  <si>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</si>
  <si>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</si>
  <si>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</si>
  <si>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</si>
  <si>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</si>
  <si>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</si>
  <si>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</si>
  <si>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</si>
  <si>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</si>
  <si>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</si>
  <si>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</si>
  <si>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</si>
  <si>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</si>
  <si>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</si>
  <si>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</si>
  <si>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</si>
  <si>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</si>
  <si>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</si>
  <si>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</si>
  <si>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</si>
  <si>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</si>
  <si>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</si>
  <si>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</si>
  <si>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</si>
  <si>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</si>
  <si>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</si>
  <si>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</si>
  <si>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</si>
  <si>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</si>
  <si>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</si>
  <si>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</si>
  <si>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</si>
  <si>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</si>
  <si>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</si>
  <si>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</si>
  <si>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</si>
  <si>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</si>
  <si>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</si>
  <si>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</si>
  <si>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</si>
  <si>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</si>
  <si>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</si>
  <si>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</si>
  <si>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</si>
  <si>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</si>
  <si>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</si>
  <si>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</si>
  <si>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</si>
  <si>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</si>
  <si>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</si>
  <si>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</si>
  <si>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</si>
  <si>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</si>
  <si>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</si>
  <si>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</si>
  <si>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</si>
  <si>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</si>
  <si>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</si>
  <si>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</si>
  <si>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</si>
  <si>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</si>
  <si>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</si>
  <si>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</si>
  <si>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</si>
  <si>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</si>
  <si>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</si>
  <si>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</si>
  <si>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</si>
  <si>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</si>
  <si>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</si>
  <si>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</si>
  <si>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</si>
  <si>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</si>
  <si>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</si>
  <si>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</si>
  <si>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</si>
  <si>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</si>
  <si>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</si>
  <si>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</si>
  <si>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</si>
  <si>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</si>
  <si>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</si>
  <si>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</si>
  <si>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</si>
  <si>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</si>
  <si>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</si>
  <si>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</si>
  <si>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</si>
  <si>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</si>
  <si>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</si>
  <si>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</si>
  <si>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</si>
  <si>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</si>
  <si>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</si>
  <si>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</si>
  <si>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</si>
  <si>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</si>
  <si>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</si>
  <si>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</si>
  <si>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</si>
  <si>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 xml:space="preserve">Mr. Kalmesh Parmar</t>
  </si>
  <si>
    <t xml:space="preserve">Ms. Swati Prajapati</t>
  </si>
  <si>
    <t xml:space="preserve">Elements of Mechanical Engineering</t>
  </si>
  <si>
    <t>1Qpkh7V28vWumf7dxUwEu-eF9NLCVIJ8E</t>
  </si>
  <si>
    <t>https://drive.google.com/file/d/1Qpkh7V28vWumf7dxUwEu-eF9NLCVIJ8E/view?usp=drivesdk</t>
  </si>
  <si>
    <t xml:space="preserve">Mr. Kalmesh Parmar-Mr. Vishal Jain-Ms. Swati Prajapati-Elements of Mechanical Engineering</t>
  </si>
  <si>
    <t>PIPTR</t>
  </si>
  <si>
    <t xml:space="preserve">Dr.Rushikesh Joshi</t>
  </si>
  <si>
    <t xml:space="preserve">Dr.Pooja Soni</t>
  </si>
  <si>
    <t xml:space="preserve">Dr.Tanvi Patel</t>
  </si>
  <si>
    <t xml:space="preserve">Biomedical Physics</t>
  </si>
  <si>
    <t>1puGdke6h1uPM_P2PZDipi-LWpucG4B4D</t>
  </si>
  <si>
    <t>https://drive.google.com/file/d/1puGdke6h1uPM_P2PZDipi-LWpucG4B4D/view?usp=drivesdk</t>
  </si>
  <si>
    <t xml:space="preserve">Dr.Rushikesh Joshi-Dr.Pooja Soni-Dr.Tanvi Patel-Biomedical Physics</t>
  </si>
  <si>
    <t xml:space="preserve">Document successfully created; Document successfully merged; PDF created; Manually run by kinnari.mishra12751@paruluniversity.ac.in; Timestamp: May 4 2026 4:11 AM</t>
  </si>
  <si>
    <t xml:space="preserve">Dr.Sandip Parekh</t>
  </si>
  <si>
    <t xml:space="preserve">Dr.Gopi Panchmatia</t>
  </si>
  <si>
    <t xml:space="preserve">Dr.Darpan Vanavi</t>
  </si>
  <si>
    <t>Electrotherapy-II</t>
  </si>
  <si>
    <t>1DxtGtfqKb0TJxGXIFjJlPRpEAviIaSz3</t>
  </si>
  <si>
    <t>https://drive.google.com/file/d/1DxtGtfqKb0TJxGXIFjJlPRpEAviIaSz3/view?usp=drivesdk</t>
  </si>
  <si>
    <t xml:space="preserve">Dr.Sandip Parekh-Dr.Gopi Panchmatia-Dr.Darpan Vanavi-Electrotherapy-II</t>
  </si>
  <si>
    <t xml:space="preserve">Dr.Monali Soni</t>
  </si>
  <si>
    <t xml:space="preserve">Dr.Payal Bhardva</t>
  </si>
  <si>
    <t xml:space="preserve">Dr.Parth Prajapati</t>
  </si>
  <si>
    <t xml:space="preserve">Exercise Therapy II</t>
  </si>
  <si>
    <t>1ra54wyU7EBWabC2HDdED01oTtce-nVXL</t>
  </si>
  <si>
    <t>https://drive.google.com/file/d/1ra54wyU7EBWabC2HDdED01oTtce-nVXL/view?usp=drivesdk</t>
  </si>
  <si>
    <t xml:space="preserve">Dr.Monali Soni-Dr.Payal Bhardva-Dr.Parth Prajapati-Exercise Therapy II</t>
  </si>
  <si>
    <t>PIAYR</t>
  </si>
  <si>
    <t xml:space="preserve">Dr. Sambu Surendran</t>
  </si>
  <si>
    <t xml:space="preserve">Dr. Sahil Patel</t>
  </si>
  <si>
    <t xml:space="preserve">Dr. Dhriti Khandelwal</t>
  </si>
  <si>
    <t xml:space="preserve">Shalya Tantra Paper 1</t>
  </si>
  <si>
    <t>1gVk0r3EMmebxgdRh0E25hgA5k5r07V_z</t>
  </si>
  <si>
    <t>https://drive.google.com/file/d/1gVk0r3EMmebxgdRh0E25hgA5k5r07V_z/view?usp=drivesdk</t>
  </si>
  <si>
    <t xml:space="preserve">Dr. Sambu Surendran-Dr. Sahil Patel-Dr. Dhriti Khandelwal-Shalya Tantra Paper 1</t>
  </si>
  <si>
    <t xml:space="preserve">Document successfully created; Document successfully merged; PDF created; Manually run by kinnari.mishra12751@paruluniversity.ac.in; Timestamp: May 6 2026 1:26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</si>
  <si>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</si>
  <si>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</si>
  <si>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</si>
  <si>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</si>
  <si>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</si>
  <si>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</si>
  <si>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</si>
  <si>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</si>
  <si>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</si>
  <si>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</si>
  <si>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</si>
  <si>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</si>
  <si>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</si>
  <si>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</si>
  <si>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</si>
  <si>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</si>
  <si>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</si>
  <si>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</si>
  <si>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</si>
  <si>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</si>
  <si>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</si>
  <si>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</si>
  <si>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</si>
  <si>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</si>
  <si>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</si>
  <si>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</si>
  <si>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</si>
  <si>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</si>
  <si>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</si>
  <si>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</si>
  <si>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</si>
  <si>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</si>
  <si>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</si>
  <si>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</si>
  <si>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</si>
  <si>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</si>
  <si>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</si>
  <si>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</si>
  <si>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</si>
  <si>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</si>
  <si>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</si>
  <si>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</si>
  <si>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</si>
  <si>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</si>
  <si>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</si>
  <si>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</si>
  <si>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</si>
  <si>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</si>
  <si>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</si>
  <si>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</si>
  <si>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</si>
  <si>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</si>
  <si>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</si>
  <si>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</si>
  <si>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</si>
  <si>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</si>
  <si>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</si>
  <si>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</si>
  <si>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</si>
  <si>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</si>
  <si>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</si>
  <si>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</si>
  <si>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</si>
  <si>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</si>
  <si>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</si>
  <si>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</si>
  <si>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</si>
  <si>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</si>
  <si>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</si>
  <si>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</si>
  <si>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</si>
  <si>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</si>
  <si>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</si>
  <si>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</si>
  <si>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</si>
  <si>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</si>
  <si>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</si>
  <si>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</si>
  <si>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</si>
  <si>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</si>
  <si>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</si>
  <si>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</si>
  <si>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</si>
  <si>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</si>
  <si>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</si>
  <si>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</si>
  <si>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</si>
  <si>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</si>
  <si>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</si>
  <si>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</si>
  <si>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</si>
  <si>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</si>
  <si>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</si>
  <si>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</si>
  <si>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</si>
  <si>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</si>
  <si>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</si>
  <si>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</si>
  <si>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</si>
  <si>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</si>
  <si>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</si>
  <si>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</si>
  <si>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</si>
  <si>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</si>
  <si>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</si>
  <si>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</si>
  <si>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</si>
  <si>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</si>
  <si>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</si>
  <si>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</si>
  <si>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</si>
  <si>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</si>
  <si>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</si>
  <si>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</si>
  <si>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</si>
  <si>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</si>
  <si>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</si>
  <si>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Mr. Ashish Shah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</si>
  <si>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</si>
  <si>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</si>
  <si>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</si>
  <si>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</si>
  <si>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</si>
  <si>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</si>
  <si>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</si>
  <si>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</si>
  <si>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</si>
  <si>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</si>
  <si>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</si>
  <si>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</si>
  <si>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</si>
  <si>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</si>
  <si>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</si>
  <si>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</si>
  <si>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</si>
  <si>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</si>
  <si>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</si>
  <si>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</si>
  <si>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</si>
  <si>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</si>
  <si>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</si>
  <si>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</si>
  <si>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</si>
  <si>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</si>
  <si>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</si>
  <si>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</si>
  <si>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</si>
  <si>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</si>
  <si>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</si>
  <si>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</si>
  <si>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</si>
  <si>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</si>
  <si>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</si>
  <si>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</si>
  <si>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</si>
  <si>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</si>
  <si>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</si>
  <si>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</si>
  <si>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</si>
  <si>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</si>
  <si>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</si>
  <si>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</si>
  <si>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</si>
  <si>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</si>
  <si>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</si>
  <si>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</si>
  <si>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</si>
  <si>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</si>
  <si>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</si>
  <si>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</si>
  <si>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</si>
  <si>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</si>
  <si>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</si>
  <si>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</si>
  <si>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</si>
  <si>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</si>
  <si>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</si>
  <si>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</si>
  <si>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</si>
  <si>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</si>
  <si>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</si>
  <si>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</si>
  <si>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</si>
  <si>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</si>
  <si>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</si>
  <si>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</si>
  <si>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</si>
  <si>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</si>
  <si>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</si>
  <si>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</si>
  <si>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</si>
  <si>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</si>
  <si>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</si>
  <si>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</si>
  <si>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</si>
  <si>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</si>
  <si>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</si>
  <si>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</si>
  <si>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</si>
  <si>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</si>
  <si>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</si>
  <si>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</si>
  <si>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</si>
  <si>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</si>
  <si>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</si>
  <si>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</si>
  <si>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</si>
  <si>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</si>
  <si>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</si>
  <si>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</si>
  <si>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</si>
  <si>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</si>
  <si>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</si>
  <si>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</si>
  <si>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</si>
  <si>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</si>
  <si>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</si>
  <si>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</si>
  <si>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</si>
  <si>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</si>
  <si>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>PIA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</si>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</sst>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6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2.000000"/>
      <color indexed="4"/>
      <name val="Calibri"/>
    </font>
    <font>
      <b/>
      <sz val="10.000000"/>
      <color rgb="FF434343"/>
      <name val="Arial"/>
    </font>
    <font>
      <sz val="12.000000"/>
      <color indexed="64"/>
      <name val="Calibri"/>
    </font>
    <font>
      <b/>
      <sz val="12.000000"/>
      <color rgb="FF434343"/>
      <name val="Calibri"/>
    </font>
    <font>
      <b/>
      <sz val="12.000000"/>
      <color indexed="64"/>
      <name val="Calibri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79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thin">
        <color indexed="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442F65"/>
      </bottom>
      <diagonal style="none"/>
    </border>
    <border>
      <left style="thin">
        <color rgb="FF442F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indexed="65"/>
      </top>
      <bottom style="thin">
        <color indexed="65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49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33" fillId="4" borderId="23" numFmtId="0" xfId="0" applyFont="1" applyFill="1" applyBorder="1" applyAlignment="1">
      <alignment horizontal="left" readingOrder="0" vertical="center" wrapText="1"/>
    </xf>
    <xf fontId="6" fillId="4" borderId="24" numFmtId="0" xfId="0" applyFont="1" applyFill="1" applyBorder="1" applyAlignment="1">
      <alignment horizontal="left" readingOrder="0" vertical="center" wrapText="1"/>
    </xf>
    <xf fontId="33" fillId="4" borderId="25" numFmtId="0" xfId="0" applyFont="1" applyFill="1" applyBorder="1" applyAlignment="1">
      <alignment horizontal="left" readingOrder="0" vertical="center" wrapText="1"/>
    </xf>
    <xf fontId="32" fillId="6" borderId="26" numFmtId="0" xfId="0" applyFont="1" applyFill="1" applyBorder="1" applyAlignment="1">
      <alignment horizontal="left" readingOrder="0" vertical="center" wrapText="1"/>
    </xf>
    <xf fontId="22" fillId="6" borderId="27" numFmtId="0" xfId="0" applyFont="1" applyFill="1" applyBorder="1" applyAlignment="1">
      <alignment horizontal="left" readingOrder="0" wrapText="1"/>
    </xf>
    <xf fontId="24" fillId="6" borderId="28" numFmtId="0" xfId="0" applyFont="1" applyFill="1" applyBorder="1" applyAlignment="1">
      <alignment horizontal="left" readingOrder="0" wrapText="1"/>
    </xf>
    <xf fontId="33" fillId="13" borderId="29" numFmtId="0" xfId="0" applyFont="1" applyFill="1" applyBorder="1" applyAlignment="1">
      <alignment horizontal="center" readingOrder="0" vertical="center" wrapText="1"/>
    </xf>
    <xf fontId="34" fillId="6" borderId="27" numFmtId="15" xfId="0" applyNumberFormat="1" applyFont="1" applyFill="1" applyBorder="1" applyAlignment="1">
      <alignment horizontal="right" readingOrder="0" vertical="center" wrapText="1"/>
    </xf>
    <xf fontId="33" fillId="6" borderId="27" numFmtId="0" xfId="0" applyFont="1" applyFill="1" applyBorder="1" applyAlignment="1">
      <alignment horizontal="left" readingOrder="0" vertical="center" wrapText="1"/>
    </xf>
    <xf fontId="6" fillId="6" borderId="27" numFmtId="0" xfId="0" applyFont="1" applyFill="1" applyBorder="1" applyAlignment="1">
      <alignment horizontal="lef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0" fillId="0" borderId="30" numFmtId="0" xfId="0" applyBorder="1" applyAlignment="1">
      <alignment horizontal="left" readingOrder="0" wrapText="1"/>
    </xf>
    <xf fontId="32" fillId="4" borderId="31" numFmtId="0" xfId="0" applyFont="1" applyFill="1" applyBorder="1" applyAlignment="1">
      <alignment horizontal="left" readingOrder="0" vertical="center" wrapText="1"/>
    </xf>
    <xf fontId="22" fillId="4" borderId="32" numFmtId="0" xfId="0" applyFont="1" applyFill="1" applyBorder="1" applyAlignment="1">
      <alignment horizontal="left" readingOrder="0" wrapText="1"/>
    </xf>
    <xf fontId="24" fillId="4" borderId="33" numFmtId="0" xfId="0" applyFont="1" applyFill="1" applyBorder="1" applyAlignment="1">
      <alignment horizontal="left" readingOrder="0" wrapText="1"/>
    </xf>
    <xf fontId="33" fillId="13" borderId="34" numFmtId="0" xfId="0" applyFont="1" applyFill="1" applyBorder="1" applyAlignment="1">
      <alignment horizontal="center" readingOrder="0" vertical="center" wrapText="1"/>
    </xf>
    <xf fontId="34" fillId="4" borderId="32" numFmtId="15" xfId="0" applyNumberFormat="1" applyFont="1" applyFill="1" applyBorder="1" applyAlignment="1">
      <alignment horizontal="righ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6" fillId="4" borderId="32" numFmtId="0" xfId="0" applyFont="1" applyFill="1" applyBorder="1" applyAlignment="1">
      <alignment horizontal="left" readingOrder="0" vertical="center" wrapText="1"/>
    </xf>
    <xf fontId="33" fillId="4" borderId="35" numFmtId="0" xfId="0" applyFont="1" applyFill="1" applyBorder="1" applyAlignment="1">
      <alignment horizontal="left" readingOrder="0" vertical="center" wrapText="1"/>
    </xf>
    <xf fontId="35" fillId="6" borderId="36" numFmtId="0" xfId="0" applyFont="1" applyFill="1" applyBorder="1" applyAlignment="1">
      <alignment horizontal="left" readingOrder="0" vertical="center" wrapText="1"/>
    </xf>
    <xf fontId="22" fillId="6" borderId="37" numFmtId="0" xfId="0" applyFont="1" applyFill="1" applyBorder="1" applyAlignment="1">
      <alignment horizontal="left" readingOrder="0" wrapText="1"/>
    </xf>
    <xf fontId="24" fillId="6" borderId="33" numFmtId="0" xfId="0" applyFont="1" applyFill="1" applyBorder="1" applyAlignment="1">
      <alignment horizontal="left" readingOrder="0" wrapText="1"/>
    </xf>
    <xf fontId="34" fillId="6" borderId="37" numFmtId="15" xfId="0" applyNumberFormat="1" applyFont="1" applyFill="1" applyBorder="1" applyAlignment="1">
      <alignment horizontal="right" readingOrder="0" vertical="center" wrapText="1"/>
    </xf>
    <xf fontId="33" fillId="6" borderId="37" numFmtId="0" xfId="0" applyFont="1" applyFill="1" applyBorder="1" applyAlignment="1">
      <alignment horizontal="left" readingOrder="0" vertical="center" wrapText="1"/>
    </xf>
    <xf fontId="6" fillId="6" borderId="37" numFmtId="0" xfId="0" applyFont="1" applyFill="1" applyBorder="1" applyAlignment="1">
      <alignment horizontal="left" readingOrder="0" vertical="center" wrapText="1"/>
    </xf>
    <xf fontId="33" fillId="6" borderId="35" numFmtId="0" xfId="0" applyFont="1" applyFill="1" applyBorder="1" applyAlignment="1">
      <alignment horizontal="left" readingOrder="0" vertical="center" wrapText="1"/>
    </xf>
    <xf fontId="22" fillId="4" borderId="38" numFmtId="0" xfId="0" applyFont="1" applyFill="1" applyBorder="1" applyAlignment="1">
      <alignment horizontal="left" readingOrder="0" wrapText="1"/>
    </xf>
    <xf fontId="22" fillId="6" borderId="39" numFmtId="0" xfId="0" applyFont="1" applyFill="1" applyBorder="1" applyAlignment="1">
      <alignment horizontal="left" readingOrder="0" wrapText="1"/>
    </xf>
    <xf fontId="35" fillId="6" borderId="40" numFmtId="0" xfId="0" applyFont="1" applyFill="1" applyBorder="1" applyAlignment="1">
      <alignment horizontal="left" readingOrder="0" vertical="center" wrapText="1"/>
    </xf>
    <xf fontId="36" fillId="4" borderId="38" numFmtId="0" xfId="0" applyFont="1" applyFill="1" applyBorder="1" applyAlignment="1">
      <alignment horizontal="left" readingOrder="0" vertical="center" wrapText="1"/>
    </xf>
    <xf fontId="36" fillId="4" borderId="33" numFmtId="0" xfId="0" applyFont="1" applyFill="1" applyBorder="1" applyAlignment="1">
      <alignment horizontal="left" readingOrder="0" vertical="center" wrapText="1"/>
    </xf>
    <xf fontId="35" fillId="6" borderId="41" numFmtId="0" xfId="0" applyFont="1" applyFill="1" applyBorder="1" applyAlignment="1">
      <alignment horizontal="left" readingOrder="0" vertical="center" wrapText="1"/>
    </xf>
    <xf fontId="33" fillId="6" borderId="33" numFmtId="0" xfId="0" applyFont="1" applyFill="1" applyBorder="1" applyAlignment="1">
      <alignment horizontal="left" readingOrder="0" vertical="center" wrapText="1"/>
    </xf>
    <xf fontId="37" fillId="4" borderId="38" numFmtId="0" xfId="0" applyFont="1" applyFill="1" applyBorder="1" applyAlignment="1">
      <alignment horizontal="left" readingOrder="0" vertical="center" wrapText="1"/>
    </xf>
    <xf fontId="38" fillId="4" borderId="33" numFmtId="0" xfId="0" applyFont="1" applyFill="1" applyBorder="1" applyAlignment="1">
      <alignment horizontal="left" readingOrder="0" vertical="center" wrapText="1"/>
    </xf>
    <xf fontId="38" fillId="6" borderId="39" numFmtId="0" xfId="0" applyFont="1" applyFill="1" applyBorder="1" applyAlignment="1">
      <alignment horizontal="left" readingOrder="0" vertical="center" wrapText="1"/>
    </xf>
    <xf fontId="39" fillId="6" borderId="33" numFmtId="0" xfId="0" applyFont="1" applyFill="1" applyBorder="1" applyAlignment="1">
      <alignment horizontal="left" readingOrder="0" vertical="center" wrapText="1"/>
    </xf>
    <xf fontId="33" fillId="4" borderId="42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40" fillId="4" borderId="33" numFmtId="0" xfId="0" applyFont="1" applyFill="1" applyBorder="1" applyAlignment="1">
      <alignment horizontal="left" readingOrder="0" vertical="center" wrapText="1"/>
    </xf>
    <xf fontId="32" fillId="6" borderId="36" numFmtId="0" xfId="0" applyFont="1" applyFill="1" applyBorder="1" applyAlignment="1">
      <alignment horizontal="left" readingOrder="0" vertical="center" wrapText="1"/>
    </xf>
    <xf fontId="40" fillId="6" borderId="37" numFmtId="0" xfId="0" applyFont="1" applyFill="1" applyBorder="1" applyAlignment="1">
      <alignment horizontal="left" readingOrder="0" vertical="center" wrapText="1"/>
    </xf>
    <xf fontId="40" fillId="6" borderId="33" numFmtId="0" xfId="0" applyFont="1" applyFill="1" applyBorder="1" applyAlignment="1">
      <alignment horizontal="left" readingOrder="0" vertical="center" wrapText="1"/>
    </xf>
    <xf fontId="40" fillId="4" borderId="38" numFmtId="0" xfId="0" applyFont="1" applyFill="1" applyBorder="1" applyAlignment="1">
      <alignment horizontal="left" readingOrder="0" vertical="center" wrapText="1"/>
    </xf>
    <xf fontId="40" fillId="6" borderId="39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40" fillId="4" borderId="44" numFmtId="0" xfId="0" applyFont="1" applyFill="1" applyBorder="1" applyAlignment="1">
      <alignment horizontal="left" readingOrder="0" vertical="center" wrapText="1"/>
    </xf>
    <xf fontId="32" fillId="6" borderId="40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4" borderId="33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34" fillId="6" borderId="49" numFmtId="15" xfId="0" applyNumberFormat="1" applyFont="1" applyFill="1" applyBorder="1" applyAlignment="1">
      <alignment horizontal="righ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6" fillId="6" borderId="49" numFmtId="0" xfId="0" applyFont="1" applyFill="1" applyBorder="1" applyAlignment="1">
      <alignment horizontal="left" readingOrder="0" vertical="center" wrapText="1"/>
    </xf>
    <xf fontId="33" fillId="6" borderId="50" numFmtId="0" xfId="0" applyFont="1" applyFill="1" applyBorder="1" applyAlignment="1">
      <alignment horizontal="left" readingOrder="0" vertical="center" wrapText="1"/>
    </xf>
    <xf fontId="38" fillId="6" borderId="37" numFmtId="0" xfId="0" applyFont="1" applyFill="1" applyBorder="1" applyAlignment="1">
      <alignment horizontal="left" readingOrder="0" vertical="center" wrapText="1"/>
    </xf>
    <xf fontId="38" fillId="6" borderId="33" numFmtId="0" xfId="0" applyFont="1" applyFill="1" applyBorder="1" applyAlignment="1">
      <alignment horizontal="left" readingOrder="0" vertical="center" wrapText="1"/>
    </xf>
    <xf fontId="38" fillId="4" borderId="38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8" fillId="4" borderId="46" numFmtId="0" xfId="0" applyFont="1" applyFill="1" applyBorder="1" applyAlignment="1">
      <alignment horizontal="left" readingOrder="0" vertical="center" wrapText="1"/>
    </xf>
    <xf fontId="34" fillId="4" borderId="51" numFmtId="15" xfId="0" applyNumberFormat="1" applyFont="1" applyFill="1" applyBorder="1" applyAlignment="1">
      <alignment horizontal="righ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6" fillId="4" borderId="51" numFmtId="0" xfId="0" applyFont="1" applyFill="1" applyBorder="1" applyAlignment="1">
      <alignment horizontal="left" readingOrder="0" vertical="center" wrapText="1"/>
    </xf>
    <xf fontId="33" fillId="4" borderId="52" numFmtId="0" xfId="0" applyFont="1" applyFill="1" applyBorder="1" applyAlignment="1">
      <alignment horizontal="left" readingOrder="0" vertical="center" wrapText="1"/>
    </xf>
    <xf fontId="35" fillId="6" borderId="26" numFmtId="0" xfId="0" applyFont="1" applyFill="1" applyBorder="1" applyAlignment="1">
      <alignment horizontal="left" readingOrder="0" vertical="center" wrapText="1"/>
    </xf>
    <xf fontId="41" fillId="6" borderId="27" numFmtId="0" xfId="0" applyFont="1" applyFill="1" applyBorder="1" applyAlignment="1">
      <alignment horizontal="left" readingOrder="0" vertical="center" wrapText="1"/>
    </xf>
    <xf fontId="41" fillId="6" borderId="28" numFmtId="0" xfId="0" applyFont="1" applyFill="1" applyBorder="1" applyAlignment="1">
      <alignment horizontal="left" readingOrder="0" vertical="center" wrapText="1"/>
    </xf>
    <xf fontId="34" fillId="6" borderId="27" numFmtId="15" xfId="0" applyNumberFormat="1" applyFont="1" applyFill="1" applyBorder="1" applyAlignment="1">
      <alignment horizontal="left" readingOrder="0" vertical="center" wrapText="1"/>
    </xf>
    <xf fontId="41" fillId="4" borderId="38" numFmtId="0" xfId="0" applyFont="1" applyFill="1" applyBorder="1" applyAlignment="1">
      <alignment horizontal="left" readingOrder="0" vertical="center" wrapText="1"/>
    </xf>
    <xf fontId="41" fillId="4" borderId="33" numFmtId="0" xfId="0" applyFont="1" applyFill="1" applyBorder="1" applyAlignment="1">
      <alignment horizontal="left" readingOrder="0" vertical="center" wrapText="1"/>
    </xf>
    <xf fontId="34" fillId="4" borderId="32" numFmtId="15" xfId="0" applyNumberFormat="1" applyFont="1" applyFill="1" applyBorder="1" applyAlignment="1">
      <alignment horizontal="left" readingOrder="0" vertical="center" wrapText="1"/>
    </xf>
    <xf fontId="41" fillId="6" borderId="37" numFmtId="0" xfId="0" applyFont="1" applyFill="1" applyBorder="1" applyAlignment="1">
      <alignment horizontal="left" readingOrder="0" vertical="center" wrapText="1"/>
    </xf>
    <xf fontId="41" fillId="6" borderId="33" numFmtId="0" xfId="0" applyFont="1" applyFill="1" applyBorder="1" applyAlignment="1">
      <alignment horizontal="left" readingOrder="0" vertical="center" wrapText="1"/>
    </xf>
    <xf fontId="34" fillId="6" borderId="37" numFmtId="15" xfId="0" applyNumberFormat="1" applyFont="1" applyFill="1" applyBorder="1" applyAlignment="1">
      <alignment horizontal="left" readingOrder="0" vertical="center" wrapText="1"/>
    </xf>
    <xf fontId="42" fillId="4" borderId="31" numFmtId="0" xfId="0" applyFont="1" applyFill="1" applyBorder="1" applyAlignment="1">
      <alignment horizontal="left" readingOrder="0" vertical="center" wrapText="1"/>
    </xf>
    <xf fontId="41" fillId="4" borderId="32" numFmtId="0" xfId="0" applyFont="1" applyFill="1" applyBorder="1" applyAlignment="1">
      <alignment horizontal="left" readingOrder="0" vertical="center" wrapText="1"/>
    </xf>
    <xf fontId="42" fillId="6" borderId="36" numFmtId="0" xfId="0" applyFont="1" applyFill="1" applyBorder="1" applyAlignment="1">
      <alignment horizontal="left" readingOrder="0" vertical="center" wrapText="1"/>
    </xf>
    <xf fontId="42" fillId="6" borderId="40" numFmtId="0" xfId="0" applyFont="1" applyFill="1" applyBorder="1" applyAlignment="1">
      <alignment horizontal="left" readingOrder="0" vertical="center" wrapText="1"/>
    </xf>
    <xf fontId="42" fillId="6" borderId="41" numFmtId="0" xfId="0" applyFont="1" applyFill="1" applyBorder="1" applyAlignment="1">
      <alignment horizontal="left" readingOrder="0" vertical="center" wrapText="1"/>
    </xf>
    <xf fontId="41" fillId="4" borderId="45" numFmtId="0" xfId="0" applyFont="1" applyFill="1" applyBorder="1" applyAlignment="1">
      <alignment horizontal="left" readingOrder="0" vertical="center" wrapText="1"/>
    </xf>
    <xf fontId="41" fillId="4" borderId="46" numFmtId="0" xfId="0" applyFont="1" applyFill="1" applyBorder="1" applyAlignment="1">
      <alignment horizontal="left" readingOrder="0" vertical="center" wrapText="1"/>
    </xf>
    <xf fontId="34" fillId="4" borderId="51" numFmtId="15" xfId="0" applyNumberFormat="1" applyFont="1" applyFill="1" applyBorder="1" applyAlignment="1">
      <alignment horizontal="left" readingOrder="0" vertical="center" wrapText="1"/>
    </xf>
    <xf fontId="33" fillId="6" borderId="53" numFmtId="0" xfId="0" applyFont="1" applyFill="1" applyBorder="1" applyAlignment="1">
      <alignment horizontal="left" readingOrder="0" vertical="center" wrapText="1"/>
    </xf>
    <xf fontId="41" fillId="6" borderId="54" numFmtId="0" xfId="0" applyFont="1" applyFill="1" applyBorder="1" applyAlignment="1">
      <alignment horizontal="left" readingOrder="0" vertical="center" wrapText="1"/>
    </xf>
    <xf fontId="41" fillId="6" borderId="55" numFmtId="0" xfId="0" applyFont="1" applyFill="1" applyBorder="1" applyAlignment="1">
      <alignment horizontal="left" readingOrder="0" vertical="center" wrapText="1"/>
    </xf>
    <xf fontId="34" fillId="6" borderId="54" numFmtId="15" xfId="0" applyNumberFormat="1" applyFont="1" applyFill="1" applyBorder="1" applyAlignment="1">
      <alignment horizontal="left" readingOrder="0" vertical="center" wrapText="1"/>
    </xf>
    <xf fontId="33" fillId="6" borderId="54" numFmtId="0" xfId="0" applyFont="1" applyFill="1" applyBorder="1" applyAlignment="1">
      <alignment horizontal="left" readingOrder="0" vertical="center" wrapText="1"/>
    </xf>
    <xf fontId="6" fillId="6" borderId="54" numFmtId="0" xfId="0" applyFont="1" applyFill="1" applyBorder="1" applyAlignment="1">
      <alignment horizontal="left" readingOrder="0" vertical="center" wrapText="1"/>
    </xf>
    <xf fontId="33" fillId="6" borderId="56" numFmtId="0" xfId="0" applyFont="1" applyFill="1" applyBorder="1" applyAlignment="1">
      <alignment horizontal="left" readingOrder="0" vertical="center" wrapText="1"/>
    </xf>
    <xf fontId="35" fillId="4" borderId="57" numFmtId="0" xfId="0" applyFont="1" applyFill="1" applyBorder="1" applyAlignment="1">
      <alignment horizontal="left" readingOrder="0" vertical="center" wrapText="1"/>
    </xf>
    <xf fontId="43" fillId="4" borderId="24" numFmtId="0" xfId="0" applyFont="1" applyFill="1" applyBorder="1" applyAlignment="1">
      <alignment horizontal="left" readingOrder="0" vertical="center" wrapText="1"/>
    </xf>
    <xf fontId="25" fillId="4" borderId="28" numFmtId="0" xfId="0" applyFont="1" applyFill="1" applyBorder="1" applyAlignment="1">
      <alignment horizontal="left" readingOrder="0" vertical="center" wrapText="1"/>
    </xf>
    <xf fontId="34" fillId="4" borderId="24" numFmtId="15" xfId="0" applyNumberFormat="1" applyFont="1" applyFill="1" applyBorder="1" applyAlignment="1">
      <alignment horizontal="right" readingOrder="0" vertical="center" wrapText="1"/>
    </xf>
    <xf fontId="33" fillId="4" borderId="24" numFmtId="0" xfId="0" applyFont="1" applyFill="1" applyBorder="1" applyAlignment="1">
      <alignment horizontal="left" readingOrder="0" vertical="center" wrapText="1"/>
    </xf>
    <xf fontId="43" fillId="6" borderId="39" numFmtId="0" xfId="0" applyFont="1" applyFill="1" applyBorder="1" applyAlignment="1">
      <alignment horizontal="left" readingOrder="0" vertical="center" wrapText="1"/>
    </xf>
    <xf fontId="44" fillId="6" borderId="33" numFmtId="0" xfId="0" applyFont="1" applyFill="1" applyBorder="1" applyAlignment="1">
      <alignment horizontal="left" readingOrder="0" vertical="center" wrapText="1"/>
    </xf>
    <xf fontId="34" fillId="6" borderId="37" numFmtId="15" xfId="0" applyNumberFormat="1" applyFont="1" applyFill="1" applyBorder="1" applyAlignment="1">
      <alignment horizontal="right" readingOrder="0" vertical="center" wrapText="1"/>
    </xf>
    <xf fontId="35" fillId="4" borderId="42" numFmtId="0" xfId="0" applyFont="1" applyFill="1" applyBorder="1" applyAlignment="1">
      <alignment horizontal="left" readingOrder="0" vertical="center" wrapText="1"/>
    </xf>
    <xf fontId="45" fillId="4" borderId="32" numFmtId="0" xfId="0" applyFont="1" applyFill="1" applyBorder="1" applyAlignment="1">
      <alignment horizontal="left" readingOrder="0" vertical="center" wrapText="1"/>
    </xf>
    <xf fontId="43" fillId="4" borderId="33" numFmtId="0" xfId="0" applyFont="1" applyFill="1" applyBorder="1" applyAlignment="1">
      <alignment horizontal="left" readingOrder="0" vertical="center" wrapText="1"/>
    </xf>
    <xf fontId="34" fillId="4" borderId="32" numFmtId="15" xfId="0" applyNumberFormat="1" applyFont="1" applyFill="1" applyBorder="1" applyAlignment="1">
      <alignment horizontal="right" readingOrder="0" vertical="center" wrapText="1"/>
    </xf>
    <xf fontId="45" fillId="6" borderId="58" numFmtId="0" xfId="0" applyFont="1" applyFill="1" applyBorder="1" applyAlignment="1">
      <alignment horizontal="left" readingOrder="0" vertical="center" wrapText="1"/>
    </xf>
    <xf fontId="43" fillId="6" borderId="46" numFmtId="0" xfId="0" applyFont="1" applyFill="1" applyBorder="1" applyAlignment="1">
      <alignment horizontal="left" readingOrder="0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33" fillId="6" borderId="59" numFmtId="0" xfId="0" applyFont="1" applyFill="1" applyBorder="1" applyAlignment="1">
      <alignment horizontal="left" readingOrder="0" vertical="center" wrapText="1"/>
    </xf>
    <xf fontId="6" fillId="6" borderId="59" numFmtId="0" xfId="0" applyFont="1" applyFill="1" applyBorder="1" applyAlignment="1">
      <alignment horizontal="left" readingOrder="0" vertical="center" wrapText="1"/>
    </xf>
    <xf fontId="33" fillId="6" borderId="52" numFmtId="0" xfId="0" applyFont="1" applyFill="1" applyBorder="1" applyAlignment="1">
      <alignment horizontal="left" readingOrder="0" vertical="center" wrapText="1"/>
    </xf>
    <xf fontId="46" fillId="16" borderId="4" numFmtId="0" xfId="0" applyFont="1" applyFill="1" applyBorder="1" applyAlignment="1">
      <alignment horizontal="center" vertical="center"/>
    </xf>
    <xf fontId="47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60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8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8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61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62" numFmtId="0" xfId="0" applyFont="1" applyFill="1" applyBorder="1" applyAlignment="1">
      <alignment readingOrder="0" vertical="center"/>
    </xf>
    <xf fontId="35" fillId="4" borderId="31" numFmtId="0" xfId="0" applyFont="1" applyFill="1" applyBorder="1" applyAlignment="1">
      <alignment horizontal="left" readingOrder="0" vertical="center" wrapText="1"/>
    </xf>
    <xf fontId="35" fillId="4" borderId="31" numFmtId="0" xfId="0" applyFont="1" applyFill="1" applyBorder="1" applyAlignment="1">
      <alignment horizontal="left" vertical="center" wrapText="1"/>
    </xf>
    <xf fontId="35" fillId="6" borderId="40" numFmtId="0" xfId="0" applyFont="1" applyFill="1" applyBorder="1" applyAlignment="1">
      <alignment horizontal="left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5" fillId="4" borderId="57" numFmtId="0" xfId="0" applyFont="1" applyFill="1" applyBorder="1" applyAlignment="1">
      <alignment horizontal="left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63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64" numFmtId="165" xfId="0" applyNumberFormat="1" applyFont="1" applyFill="1" applyBorder="1" applyAlignment="1">
      <alignment horizontal="right" vertical="center"/>
    </xf>
    <xf fontId="49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9" fillId="6" borderId="4" numFmtId="0" xfId="0" applyFont="1" applyFill="1" applyBorder="1" applyAlignment="1">
      <alignment horizontal="left" vertical="center"/>
    </xf>
    <xf fontId="50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50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51" fillId="8" borderId="4" numFmtId="0" xfId="0" applyFont="1" applyFill="1" applyBorder="1" applyAlignment="1">
      <alignment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6" numFmtId="0" xfId="0" applyFont="1" applyFill="1" applyBorder="1" applyAlignment="1">
      <alignment horizontal="left" vertical="center" wrapText="1"/>
    </xf>
    <xf fontId="33" fillId="4" borderId="54" numFmtId="0" xfId="0" applyFont="1" applyFill="1" applyBorder="1" applyAlignment="1">
      <alignment horizontal="left" readingOrder="0" vertical="center" wrapText="1"/>
    </xf>
    <xf fontId="33" fillId="4" borderId="24" numFmtId="0" xfId="0" applyFont="1" applyFill="1" applyBorder="1" applyAlignment="1">
      <alignment horizontal="left" readingOrder="0" wrapText="1"/>
    </xf>
    <xf fontId="33" fillId="15" borderId="29" numFmtId="0" xfId="0" applyFont="1" applyFill="1" applyBorder="1" applyAlignment="1">
      <alignment horizontal="center" readingOrder="0" vertical="center" wrapText="1"/>
    </xf>
    <xf fontId="34" fillId="4" borderId="24" numFmtId="15" xfId="0" applyNumberFormat="1" applyFont="1" applyFill="1" applyBorder="1" applyAlignment="1">
      <alignment horizontal="right" readingOrder="0" vertical="center" wrapText="1"/>
    </xf>
    <xf fontId="33" fillId="6" borderId="37" numFmtId="0" xfId="0" applyFont="1" applyFill="1" applyBorder="1" applyAlignment="1">
      <alignment horizontal="left" readingOrder="0" wrapText="1"/>
    </xf>
    <xf fontId="33" fillId="4" borderId="32" numFmtId="0" xfId="0" applyFont="1" applyFill="1" applyBorder="1" applyAlignment="1">
      <alignment horizontal="left" readingOrder="0" wrapText="1"/>
    </xf>
    <xf fontId="32" fillId="4" borderId="31" numFmtId="0" xfId="0" applyFont="1" applyFill="1" applyBorder="1" applyAlignment="1">
      <alignment horizontal="left" vertical="center" wrapText="1"/>
    </xf>
    <xf fontId="32" fillId="6" borderId="40" numFmtId="0" xfId="0" applyFont="1" applyFill="1" applyBorder="1" applyAlignment="1">
      <alignment horizontal="left" vertical="center" wrapText="1"/>
    </xf>
    <xf fontId="33" fillId="4" borderId="34" numFmtId="0" xfId="0" applyFont="1" applyFill="1" applyBorder="1" applyAlignment="1">
      <alignment horizontal="center" readingOrder="0" vertical="center" wrapText="1"/>
    </xf>
    <xf fontId="34" fillId="4" borderId="65" numFmtId="15" xfId="0" applyNumberFormat="1" applyFont="1" applyFill="1" applyBorder="1" applyAlignment="1">
      <alignment horizontal="right" readingOrder="0" vertical="center" wrapText="1"/>
    </xf>
    <xf fontId="34" fillId="6" borderId="66" numFmtId="15" xfId="0" applyNumberFormat="1" applyFont="1" applyFill="1" applyBorder="1" applyAlignment="1">
      <alignment horizontal="right" readingOrder="0" vertical="center" wrapText="1"/>
    </xf>
    <xf fontId="32" fillId="6" borderId="36" numFmtId="0" xfId="0" applyFont="1" applyFill="1" applyBorder="1" applyAlignment="1">
      <alignment horizontal="left" vertical="center" wrapText="1"/>
    </xf>
    <xf fontId="33" fillId="4" borderId="67" numFmtId="0" xfId="0" applyFont="1" applyFill="1" applyBorder="1" applyAlignment="1">
      <alignment horizontal="left" readingOrder="0" vertical="center" wrapText="1"/>
    </xf>
    <xf fontId="34" fillId="4" borderId="68" numFmtId="15" xfId="0" applyNumberFormat="1" applyFont="1" applyFill="1" applyBorder="1" applyAlignment="1">
      <alignment horizontal="right" readingOrder="0" vertical="center" wrapText="1"/>
    </xf>
    <xf fontId="32" fillId="6" borderId="41" numFmtId="0" xfId="0" applyFont="1" applyFill="1" applyBorder="1" applyAlignment="1">
      <alignment horizontal="left" readingOrder="0" vertical="center" wrapText="1"/>
    </xf>
    <xf fontId="34" fillId="6" borderId="66" numFmtId="15" xfId="0" applyNumberFormat="1" applyFont="1" applyFill="1" applyBorder="1" applyAlignment="1">
      <alignment horizontal="right" readingOrder="0" vertical="center" wrapText="1"/>
    </xf>
    <xf fontId="32" fillId="6" borderId="41" numFmtId="0" xfId="0" applyFont="1" applyFill="1" applyBorder="1" applyAlignment="1">
      <alignment horizontal="left" vertical="center" wrapText="1"/>
    </xf>
    <xf fontId="34" fillId="4" borderId="65" numFmtId="15" xfId="0" applyNumberFormat="1" applyFont="1" applyFill="1" applyBorder="1" applyAlignment="1">
      <alignment horizontal="right" readingOrder="0" vertical="center" wrapText="1"/>
    </xf>
    <xf fontId="32" fillId="4" borderId="69" numFmtId="0" xfId="0" applyFont="1" applyFill="1" applyBorder="1" applyAlignment="1">
      <alignment horizontal="left" readingOrder="0" vertical="center" wrapText="1"/>
    </xf>
    <xf fontId="33" fillId="4" borderId="65" numFmtId="0" xfId="0" applyFont="1" applyFill="1" applyBorder="1" applyAlignment="1">
      <alignment horizontal="left" readingOrder="0" vertical="center" wrapText="1"/>
    </xf>
    <xf fontId="33" fillId="4" borderId="46" numFmtId="0" xfId="0" applyFont="1" applyFill="1" applyBorder="1" applyAlignment="1">
      <alignment horizontal="left" readingOrder="0" vertical="center" wrapText="1"/>
    </xf>
    <xf fontId="34" fillId="4" borderId="51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52" fillId="2" borderId="70" numFmtId="0" xfId="0" applyFont="1" applyFill="1" applyBorder="1" applyAlignment="1">
      <alignment horizontal="left" readingOrder="0" vertical="center" wrapText="1"/>
    </xf>
    <xf fontId="52" fillId="2" borderId="71" numFmtId="0" xfId="0" applyFont="1" applyFill="1" applyBorder="1" applyAlignment="1">
      <alignment horizontal="left" readingOrder="0" vertical="center" wrapText="1"/>
    </xf>
    <xf fontId="53" fillId="3" borderId="72" numFmtId="0" xfId="0" applyFont="1" applyFill="1" applyBorder="1" applyAlignment="1">
      <alignment horizontal="left" readingOrder="0" vertical="center" wrapText="1"/>
    </xf>
    <xf fontId="53" fillId="3" borderId="73" numFmtId="0" xfId="0" applyFont="1" applyFill="1" applyBorder="1" applyAlignment="1">
      <alignment horizontal="left" readingOrder="0" vertical="center" wrapText="1"/>
    </xf>
    <xf fontId="0" fillId="0" borderId="74" numFmtId="0" xfId="0" applyBorder="1" applyAlignment="1">
      <alignment horizontal="left" readingOrder="0" wrapText="1"/>
    </xf>
    <xf fontId="54" fillId="6" borderId="27" numFmtId="0" xfId="0" applyFont="1" applyFill="1" applyBorder="1" applyAlignment="1">
      <alignment horizontal="left" readingOrder="0" vertical="center" wrapText="1"/>
    </xf>
    <xf fontId="55" fillId="6" borderId="27" numFmtId="0" xfId="0" applyFont="1" applyFill="1" applyBorder="1" applyAlignment="1">
      <alignment horizontal="left" readingOrder="0" vertical="center" wrapText="1"/>
    </xf>
    <xf fontId="33" fillId="6" borderId="75" numFmtId="0" xfId="0" applyFont="1" applyFill="1" applyBorder="1" applyAlignment="1">
      <alignment horizontal="center" readingOrder="0" vertical="center" wrapText="1"/>
    </xf>
    <xf fontId="35" fillId="6" borderId="26" numFmtId="0" xfId="0" applyFont="1" applyFill="1" applyBorder="1" applyAlignment="1">
      <alignment horizontal="left" vertical="center" wrapText="1"/>
    </xf>
    <xf fontId="55" fillId="4" borderId="32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center" readingOrder="0" vertical="center" wrapText="1"/>
    </xf>
    <xf fontId="55" fillId="6" borderId="37" numFmtId="0" xfId="0" applyFont="1" applyFill="1" applyBorder="1" applyAlignment="1">
      <alignment horizontal="left" readingOrder="0" vertical="center" wrapText="1"/>
    </xf>
    <xf fontId="33" fillId="6" borderId="37" numFmtId="0" xfId="0" applyFont="1" applyFill="1" applyBorder="1" applyAlignment="1">
      <alignment horizontal="center" readingOrder="0" vertical="center" wrapText="1"/>
    </xf>
    <xf fontId="33" fillId="6" borderId="76" numFmtId="0" xfId="0" applyFont="1" applyFill="1" applyBorder="1" applyAlignment="1">
      <alignment horizontal="center" readingOrder="0" vertical="center" wrapText="1"/>
    </xf>
    <xf fontId="0" fillId="4" borderId="31" numFmtId="0" xfId="0" applyFill="1" applyBorder="1" applyAlignment="1">
      <alignment horizontal="left" readingOrder="0" vertical="center" wrapText="1"/>
    </xf>
    <xf fontId="55" fillId="4" borderId="77" numFmtId="0" xfId="0" applyFont="1" applyFill="1" applyBorder="1" applyAlignment="1">
      <alignment horizontal="left" readingOrder="0" vertical="center" wrapText="1"/>
    </xf>
    <xf fontId="0" fillId="4" borderId="31" numFmtId="0" xfId="0" applyFill="1" applyBorder="1" applyAlignment="1">
      <alignment horizontal="left" vertical="center" wrapText="1"/>
    </xf>
    <xf fontId="55" fillId="6" borderId="77" numFmtId="0" xfId="0" applyFont="1" applyFill="1" applyBorder="1" applyAlignment="1">
      <alignment horizontal="left" readingOrder="0" vertical="center" wrapText="1"/>
    </xf>
    <xf fontId="0" fillId="6" borderId="40" numFmtId="0" xfId="0" applyFill="1" applyBorder="1" applyAlignment="1">
      <alignment horizontal="left" readingOrder="0" vertical="center" wrapText="1"/>
    </xf>
    <xf fontId="0" fillId="6" borderId="40" numFmtId="0" xfId="0" applyFill="1" applyBorder="1" applyAlignment="1">
      <alignment horizontal="left" vertical="center" wrapText="1"/>
    </xf>
    <xf fontId="55" fillId="6" borderId="49" numFmtId="0" xfId="0" applyFont="1" applyFill="1" applyBorder="1" applyAlignment="1">
      <alignment horizontal="left" readingOrder="0" vertical="center" wrapText="1"/>
    </xf>
    <xf fontId="55" fillId="6" borderId="78" numFmtId="0" xfId="0" applyFont="1" applyFill="1" applyBorder="1" applyAlignment="1">
      <alignment horizontal="lef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izc2O-y8mJVQ3K10fuABG6HmyZPC3J6Q/view?usp=drivesdk" TargetMode="External"/><Relationship  Id="rId287" Type="http://schemas.openxmlformats.org/officeDocument/2006/relationships/hyperlink" Target="https://drive.google.com/file/d/1qGau85FHt99I5DExJJZvleo_N0ao0A7e/view?usp=drivesdk" TargetMode="External"/><Relationship  Id="rId288" Type="http://schemas.openxmlformats.org/officeDocument/2006/relationships/hyperlink" Target="https://drive.google.com/file/d/1JRbpVoQw3IqZxi36_fWpIui1E9aYhjsc/view?usp=drivesdk" TargetMode="External"/><Relationship  Id="rId289" Type="http://schemas.openxmlformats.org/officeDocument/2006/relationships/hyperlink" Target="https://drive.google.com/file/d/1Pb7khZLVVSlFdInRv7YGA2Nfr0xNryZl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HzCxyEWsKCd7ramJynD248tk6tWrOVmr/view?usp=drivesdk" TargetMode="External"/><Relationship  Id="rId291" Type="http://schemas.openxmlformats.org/officeDocument/2006/relationships/hyperlink" Target="https://drive.google.com/file/d/1O8XKK1qN0PbKuuQ0G0naRi_vTlFMtZIo/view?usp=drivesdk" TargetMode="External"/><Relationship  Id="rId292" Type="http://schemas.openxmlformats.org/officeDocument/2006/relationships/hyperlink" Target="https://drive.google.com/file/d/1exs5Gw56dD3ZYG4nKzlDLmwo6bx99_2P/view?usp=drivesdk" TargetMode="External"/><Relationship  Id="rId293" Type="http://schemas.openxmlformats.org/officeDocument/2006/relationships/hyperlink" Target="https://drive.google.com/file/d/15ydKaggOziqJSRtRuwMCNpFb7CjmXEz2/view?usp=drivesdk" TargetMode="External"/><Relationship  Id="rId294" Type="http://schemas.openxmlformats.org/officeDocument/2006/relationships/hyperlink" Target="https://drive.google.com/file/d/1tXOqKrrpfYQkE2vnihxmXUin5zwV4ZRe/view?usp=drivesdk" TargetMode="External"/><Relationship  Id="rId295" Type="http://schemas.openxmlformats.org/officeDocument/2006/relationships/hyperlink" Target="https://drive.google.com/file/d/1WQ7aPqNpZxUvlsBzAc6tGSH5-oIp5EOR/view?usp=drivesdk" TargetMode="External"/><Relationship  Id="rId296" Type="http://schemas.openxmlformats.org/officeDocument/2006/relationships/hyperlink" Target="https://drive.google.com/file/d/1hJpOqAny4QTee-bB40ZpqFL7zQIaDYkZ/view?usp=drivesdk" TargetMode="External"/><Relationship  Id="rId297" Type="http://schemas.openxmlformats.org/officeDocument/2006/relationships/hyperlink" Target="https://drive.google.com/file/d/1-r0xAgxpkesUtZ-eQwFt6Pe4qBKxrj37/view?usp=drivesdk" TargetMode="External"/><Relationship  Id="rId298" Type="http://schemas.openxmlformats.org/officeDocument/2006/relationships/hyperlink" Target="https://drive.google.com/file/d/1nlV9G8pbWgWUxeI1EFWFLGToU3vfDuFG/view?usp=drivesdk" TargetMode="External"/><Relationship  Id="rId299" Type="http://schemas.openxmlformats.org/officeDocument/2006/relationships/hyperlink" Target="https://drive.google.com/file/d/1mwvAzy2-7E4NT_ufSXNlvVipXxz2ASPp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DiOKhr2vIEcGfoCJ4Q51M5LXZWH4nBc3/view?usp=drivesdk" TargetMode="External"/><Relationship  Id="rId301" Type="http://schemas.openxmlformats.org/officeDocument/2006/relationships/hyperlink" Target="https://drive.google.com/file/d/1Lxo_b2tvn3ODdm1WKXcXwwO8sl0sKIHR/view?usp=drivesdk" TargetMode="External"/><Relationship  Id="rId302" Type="http://schemas.openxmlformats.org/officeDocument/2006/relationships/hyperlink" Target="https://drive.google.com/file/d/1ccxFZ798eMwJl2qvAOKMxsQckubWuY7W/view?usp=drivesdk" TargetMode="External"/><Relationship  Id="rId303" Type="http://schemas.openxmlformats.org/officeDocument/2006/relationships/hyperlink" Target="https://drive.google.com/file/d/1FBDHAY4MZ-cAFLVZVoURF8KniaydZZ7O/view?usp=drivesdk" TargetMode="External"/><Relationship  Id="rId304" Type="http://schemas.openxmlformats.org/officeDocument/2006/relationships/hyperlink" Target="https://drive.google.com/file/d/1Q_zTDRVFzmetgOzF8Vy1RKsvqUOYwvGz/view?usp=drivesdk" TargetMode="External"/><Relationship  Id="rId305" Type="http://schemas.openxmlformats.org/officeDocument/2006/relationships/hyperlink" Target="https://drive.google.com/file/d/1nE_faW8M4LaIZOtZQn4d4GhxazTVwFFU/view?usp=drivesdk" TargetMode="External"/><Relationship  Id="rId306" Type="http://schemas.openxmlformats.org/officeDocument/2006/relationships/hyperlink" Target="https://drive.google.com/file/d/1bVp49vdNo6-XUUxBaNUND5-jwmB_evWY/view?usp=drivesdk" TargetMode="External"/><Relationship  Id="rId307" Type="http://schemas.openxmlformats.org/officeDocument/2006/relationships/hyperlink" Target="https://drive.google.com/file/d/1bNtLrRJ8FozYMAhLAzTWrrqkBkIXx3c-/view?usp=drivesdk" TargetMode="External"/><Relationship  Id="rId308" Type="http://schemas.openxmlformats.org/officeDocument/2006/relationships/hyperlink" Target="https://drive.google.com/file/d/1B7a6-u6aQPgKA5zkfkjt8Rl5uoKh7tVD/view?usp=drivesdk" TargetMode="External"/><Relationship  Id="rId309" Type="http://schemas.openxmlformats.org/officeDocument/2006/relationships/hyperlink" Target="https://drive.google.com/file/d/199wJVhAZuirj5p2wEBdtP1Et7xn7Zqg1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S2h7dPnr0_2tr8Pxcu4Ov1-akgWVmzxn/view?usp=drivesdk" TargetMode="External"/><Relationship  Id="rId311" Type="http://schemas.openxmlformats.org/officeDocument/2006/relationships/hyperlink" Target="https://drive.google.com/file/d/1ymj60zENmZTc_-U2ygHmopCNovTOdnwC/view?usp=drivesdk" TargetMode="External"/><Relationship  Id="rId312" Type="http://schemas.openxmlformats.org/officeDocument/2006/relationships/hyperlink" Target="https://drive.google.com/file/d/1ItfCzrUK5oTBHmkovkknMY5cDukGVf80/view?usp=drivesdk" TargetMode="External"/><Relationship  Id="rId313" Type="http://schemas.openxmlformats.org/officeDocument/2006/relationships/hyperlink" Target="https://drive.google.com/file/d/1a60rQQ9HrMFGParIFjfritrTH3pkqbx1/view?usp=drivesdk" TargetMode="External"/><Relationship  Id="rId314" Type="http://schemas.openxmlformats.org/officeDocument/2006/relationships/hyperlink" Target="https://drive.google.com/file/d/1uVIjjXsUIVLkcihXsPpwo3U_krzWqFLg/view?usp=drivesdk" TargetMode="External"/><Relationship  Id="rId315" Type="http://schemas.openxmlformats.org/officeDocument/2006/relationships/hyperlink" Target="https://drive.google.com/file/d/1utOhtuIVu-7_CIGdz6tVLsBdh3R0fQyH/view?usp=drivesdk" TargetMode="External"/><Relationship  Id="rId316" Type="http://schemas.openxmlformats.org/officeDocument/2006/relationships/hyperlink" Target="https://drive.google.com/file/d/1gwvtSj2vUyOCD-2mnp6lVV0D_yPLUQfk/view?usp=drivesdk" TargetMode="External"/><Relationship  Id="rId317" Type="http://schemas.openxmlformats.org/officeDocument/2006/relationships/hyperlink" Target="https://drive.google.com/file/d/1zb3c3sEAXOLDmX_DUMD7h0CKAUg1mMVG/view?usp=drivesdk" TargetMode="External"/><Relationship  Id="rId318" Type="http://schemas.openxmlformats.org/officeDocument/2006/relationships/hyperlink" Target="https://drive.google.com/file/d/1tCUdNp24FvAt7WJUmZikYW9RHD5qH14_/view?usp=drivesdk" TargetMode="External"/><Relationship  Id="rId319" Type="http://schemas.openxmlformats.org/officeDocument/2006/relationships/hyperlink" Target="https://drive.google.com/file/d/104ZDH9fyYw66sAQPoWK5X727Sh6A6K27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Akzw959WcyR6QsEK3mJUrZeSh97N6lqe/view?usp=drivesdk" TargetMode="External"/><Relationship  Id="rId321" Type="http://schemas.openxmlformats.org/officeDocument/2006/relationships/hyperlink" Target="https://drive.google.com/file/d/1h1CcEBo8iapoPrg-UQKj593WCpgtHDqp/view?usp=drivesdk" TargetMode="External"/><Relationship  Id="rId322" Type="http://schemas.openxmlformats.org/officeDocument/2006/relationships/hyperlink" Target="https://drive.google.com/file/d/1XYz8uvQfXr3e2K5B095gi8UNmjVTCld0/view?usp=drivesdk" TargetMode="External"/><Relationship  Id="rId323" Type="http://schemas.openxmlformats.org/officeDocument/2006/relationships/hyperlink" Target="https://drive.google.com/file/d/1i3ZKV-U3b1OuCj93kA5vSMG_mUTWEDC3/view?usp=drivesdk" TargetMode="External"/><Relationship  Id="rId324" Type="http://schemas.openxmlformats.org/officeDocument/2006/relationships/hyperlink" Target="https://drive.google.com/file/d/1ott_ZOqnxyV-8rkdjTKQhn2fGH6bgE63/view?usp=drivesdk" TargetMode="External"/><Relationship  Id="rId325" Type="http://schemas.openxmlformats.org/officeDocument/2006/relationships/hyperlink" Target="https://drive.google.com/file/d/1xiXhrubmEwEGugkqPPzERQ3PETlQjs5E/view?usp=drivesdk" TargetMode="External"/><Relationship  Id="rId326" Type="http://schemas.openxmlformats.org/officeDocument/2006/relationships/hyperlink" Target="https://drive.google.com/file/d/1tOQvj9MTe26sJmw-n-S1Cd_zUjC0FOYi/view?usp=drivesdk" TargetMode="External"/><Relationship  Id="rId327" Type="http://schemas.openxmlformats.org/officeDocument/2006/relationships/hyperlink" Target="https://drive.google.com/file/d/1ODoUxM1FYQId4HpN310razikVEDTrX_X/view?usp=drivesdk" TargetMode="External"/><Relationship  Id="rId328" Type="http://schemas.openxmlformats.org/officeDocument/2006/relationships/hyperlink" Target="https://drive.google.com/file/d/1SiA81GmHA4jFhpNdwgS597FywGRV1OQl/view?usp=drivesdk" TargetMode="External"/><Relationship  Id="rId329" Type="http://schemas.openxmlformats.org/officeDocument/2006/relationships/hyperlink" Target="https://drive.google.com/file/d/1_DFXbNnym62cr4k-jAy_kksM5r_smoUF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30" Type="http://schemas.openxmlformats.org/officeDocument/2006/relationships/hyperlink" Target="https://drive.google.com/file/d/1m56F-GPeO5Pk9qHDhq59qtDhwNE_lhea/view?usp=drivesdk" TargetMode="External"/><Relationship  Id="rId331" Type="http://schemas.openxmlformats.org/officeDocument/2006/relationships/hyperlink" Target="https://drive.google.com/file/d/1lQQWy6e1TI2uinJkCDMxLJshDXNB43P6/view?usp=drivesdk" TargetMode="External"/><Relationship  Id="rId332" Type="http://schemas.openxmlformats.org/officeDocument/2006/relationships/hyperlink" Target="https://drive.google.com/file/d/1E4fmVDYR-_a0mzJsPS-4HS8Do9R7Hqo7/view?usp=drivesdk" TargetMode="External"/><Relationship  Id="rId333" Type="http://schemas.openxmlformats.org/officeDocument/2006/relationships/hyperlink" Target="https://drive.google.com/file/d/18dphAqMu_vjeKH62j2rIJi27VoVITkcb/view?usp=drivesdk" TargetMode="External"/><Relationship  Id="rId334" Type="http://schemas.openxmlformats.org/officeDocument/2006/relationships/hyperlink" Target="https://drive.google.com/file/d/1oa47-JZHYM_yh51ahhexU4TG9k-uzMA_/view?usp=drivesdk" TargetMode="External"/><Relationship  Id="rId335" Type="http://schemas.openxmlformats.org/officeDocument/2006/relationships/hyperlink" Target="https://drive.google.com/file/d/17ppfeT9X6WaokByxYGiknL3ae8ROT4wf/view?usp=drivesdk" TargetMode="External"/><Relationship  Id="rId336" Type="http://schemas.openxmlformats.org/officeDocument/2006/relationships/hyperlink" Target="https://drive.google.com/file/d/1lwmryE7UbEPWtUBEcOS0t-3zH2ZQj7Sh/view?usp=drivesdk" TargetMode="External"/><Relationship  Id="rId337" Type="http://schemas.openxmlformats.org/officeDocument/2006/relationships/hyperlink" Target="https://drive.google.com/file/d/1OQhjcYgnFPkYBckHu83-VYf8XqdSnkoM/view?usp=drivesdk" TargetMode="External"/><Relationship  Id="rId338" Type="http://schemas.openxmlformats.org/officeDocument/2006/relationships/hyperlink" Target="https://drive.google.com/file/d/1T47_dCf8SixyCqPSnrLbNHrFHPH0EBYQ/view?usp=drivesdk" TargetMode="External"/><Relationship  Id="rId339" Type="http://schemas.openxmlformats.org/officeDocument/2006/relationships/hyperlink" Target="https://drive.google.com/file/d/1M_e9j-WCYCGhjxBHkulGR-5z4Bec083m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40" Type="http://schemas.openxmlformats.org/officeDocument/2006/relationships/hyperlink" Target="https://drive.google.com/file/d/1lUzxYxe-9lKupjVJV6tjGIRUQLoqwYWe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LrwCLfpBvkvXyhd3hGy8rulOHssMrfKI/view?usp=drivesdk" TargetMode="External"/><Relationship  Id="rId83" Type="http://schemas.openxmlformats.org/officeDocument/2006/relationships/hyperlink" Target="https://drive.google.com/file/d/1CMXyvvEq9Sbfa8k9y7lqnQ-muNl13bGL/view?usp=drivesdk" TargetMode="External"/><Relationship  Id="rId84" Type="http://schemas.openxmlformats.org/officeDocument/2006/relationships/hyperlink" Target="https://drive.google.com/file/d/1pWmf1cpdF7igQj1i5dkCgVZ3A8GM_blK/view?usp=drivesdk" TargetMode="External"/><Relationship  Id="rId85" Type="http://schemas.openxmlformats.org/officeDocument/2006/relationships/hyperlink" Target="https://drive.google.com/file/d/1sv5Q6Fp2PrE7KUrEBVhqBvtMxgJSGOUQ/view?usp=drivesdk" TargetMode="External"/><Relationship  Id="rId86" Type="http://schemas.openxmlformats.org/officeDocument/2006/relationships/hyperlink" Target="https://drive.google.com/file/d/177LhNaMLSPHJMOa5I32Z2C8awywzrW3Y/view?usp=drivesdk" TargetMode="External"/><Relationship  Id="rId87" Type="http://schemas.openxmlformats.org/officeDocument/2006/relationships/hyperlink" Target="https://drive.google.com/file/d/14vAAYceRHXsXE6HZIHI-KB-ntVunVT8b/view?usp=drivesdk" TargetMode="External"/><Relationship  Id="rId88" Type="http://schemas.openxmlformats.org/officeDocument/2006/relationships/hyperlink" Target="https://drive.google.com/file/d/1wcLOrmkHORoFVytxRv78yqDEh1-IRszk/view?usp=drivesdk" TargetMode="External"/><Relationship  Id="rId89" Type="http://schemas.openxmlformats.org/officeDocument/2006/relationships/hyperlink" Target="https://drive.google.com/file/d/1wJRTRCW1LoXt98bNM8UwDW11DnzhbzPO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2hl2xwrwaoK7CiOJqdiJJcSSVfokBPuz/view?usp=drivesdk" TargetMode="External"/><Relationship  Id="rId91" Type="http://schemas.openxmlformats.org/officeDocument/2006/relationships/hyperlink" Target="https://drive.google.com/file/d/1rhVMIyKU6O-vQcCLqOX4wfcUkh-5JEP1/view?usp=drivesdk" TargetMode="External"/><Relationship  Id="rId92" Type="http://schemas.openxmlformats.org/officeDocument/2006/relationships/hyperlink" Target="https://drive.google.com/file/d/12pvl_0BQ5o35MlgWgNYJuVK8IbjAIjcf/view?usp=drivesdk" TargetMode="External"/><Relationship  Id="rId93" Type="http://schemas.openxmlformats.org/officeDocument/2006/relationships/hyperlink" Target="https://drive.google.com/file/d/1VR-iHyImKnoS0BJM9Fk0O5fN1L1rXoAi/view?usp=drivesdk" TargetMode="External"/><Relationship  Id="rId94" Type="http://schemas.openxmlformats.org/officeDocument/2006/relationships/hyperlink" Target="https://drive.google.com/file/d/1_krHK6SaGeCg5mvPyopXI775zDhKu0Tn/view?usp=drivesdk" TargetMode="External"/><Relationship  Id="rId95" Type="http://schemas.openxmlformats.org/officeDocument/2006/relationships/hyperlink" Target="https://drive.google.com/file/d/1YVHFyliDEGRe-vNTVP0Wt8BC37xF1omL/view?usp=drivesdk" TargetMode="External"/><Relationship  Id="rId96" Type="http://schemas.openxmlformats.org/officeDocument/2006/relationships/hyperlink" Target="https://drive.google.com/file/d/1VDw44rE9HXpXw0KK2zzyKeE_swS-ShiU/view?usp=drivesdk" TargetMode="External"/><Relationship  Id="rId97" Type="http://schemas.openxmlformats.org/officeDocument/2006/relationships/hyperlink" Target="https://drive.google.com/file/d/1ciSm0S55F2CP6xM9kGhMfiSNJU_GWvFO/view?usp=drivesdk" TargetMode="External"/><Relationship  Id="rId98" Type="http://schemas.openxmlformats.org/officeDocument/2006/relationships/hyperlink" Target="https://drive.google.com/file/d/1NuzxpEn3l_LZhSXU-gEkwOuY913Wf3qK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lbETzF1tFEs_w8DSgGToTodeBlqUBv7e/view?usp=drivesdk" TargetMode="External"/><Relationship  Id="rId24" Type="http://schemas.openxmlformats.org/officeDocument/2006/relationships/hyperlink" Target="https://drive.google.com/file/d/1hk8ncDn6Tx-r6YVjbkYR7979omgRUSQy/view?usp=drivesdk" TargetMode="External"/><Relationship  Id="rId25" Type="http://schemas.openxmlformats.org/officeDocument/2006/relationships/hyperlink" Target="https://drive.google.com/file/d/1-eUfuFn2U8B6TGyG3J_oWOckIEK6CduO/view?usp=drivesdk" TargetMode="External"/><Relationship  Id="rId26" Type="http://schemas.openxmlformats.org/officeDocument/2006/relationships/hyperlink" Target="https://drive.google.com/file/d/1gFXlB1tEIudrMbPxVQDFEG3rMXP-se82/view?usp=drivesdk" TargetMode="External"/><Relationship  Id="rId27" Type="http://schemas.openxmlformats.org/officeDocument/2006/relationships/hyperlink" Target="https://drive.google.com/file/d/1DEDWDlXu18IuPApo8jjYpqKeNz6eNpff/view?usp=drivesdk" TargetMode="External"/><Relationship  Id="rId28" Type="http://schemas.openxmlformats.org/officeDocument/2006/relationships/hyperlink" Target="https://drive.google.com/file/d/1fZiljGMmRqmPperHUIzG1NAFD138oohm/view?usp=drivesdk" TargetMode="External"/><Relationship  Id="rId29" Type="http://schemas.openxmlformats.org/officeDocument/2006/relationships/hyperlink" Target="https://drive.google.com/file/d/1xMVFQp3Ot2sIpG7QO4G0Mf88iql6aSfH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5uPXqjR6KUIUTm3I2O3ZPoZeynDnSknB/view?usp=drivesdk" TargetMode="External"/><Relationship  Id="rId31" Type="http://schemas.openxmlformats.org/officeDocument/2006/relationships/hyperlink" Target="https://drive.google.com/file/d/1M6izG8C5-QEOoRkc_hnG5AaR83wD0P9U/view?usp=drivesdk" TargetMode="External"/><Relationship  Id="rId32" Type="http://schemas.openxmlformats.org/officeDocument/2006/relationships/hyperlink" Target="https://drive.google.com/file/d/11j89Qw09EJEeOZyvALs9Xv1ptkmkpUSA/view?usp=drivesdk" TargetMode="External"/><Relationship  Id="rId33" Type="http://schemas.openxmlformats.org/officeDocument/2006/relationships/hyperlink" Target="https://drive.google.com/file/d/1wKQb5Q7TE4GdkRIHVtkcAAhShCemuchs/view?usp=drivesdk" TargetMode="External"/><Relationship  Id="rId34" Type="http://schemas.openxmlformats.org/officeDocument/2006/relationships/hyperlink" Target="https://drive.google.com/file/d/1v9Hg3aWaaZOvBf9v56V2e6SmfQCqlmpy/view?usp=drivesdk" TargetMode="External"/><Relationship  Id="rId35" Type="http://schemas.openxmlformats.org/officeDocument/2006/relationships/hyperlink" Target="https://drive.google.com/file/d/1Se1mSgc8xLPMTV2wTqoThUvoi3DTWzzc/view?usp=drivesdk" TargetMode="External"/><Relationship  Id="rId36" Type="http://schemas.openxmlformats.org/officeDocument/2006/relationships/hyperlink" Target="https://drive.google.com/file/d/1eIaPd1DbD5cDdCcKcmHbHvfr3bQmpAgI/view?usp=drivesdk" TargetMode="External"/><Relationship  Id="rId37" Type="http://schemas.openxmlformats.org/officeDocument/2006/relationships/hyperlink" Target="https://drive.google.com/file/d/1FrexCoeeLyrHTJh5HaDFPQltH5fdrX1p/view?usp=drivesdk" TargetMode="External"/><Relationship  Id="rId38" Type="http://schemas.openxmlformats.org/officeDocument/2006/relationships/hyperlink" Target="https://drive.google.com/file/d/1tULN0D6xdeZ0BTirMYeZurSb-35ZpMWd/view?usp=drivesdk" TargetMode="External"/><Relationship  Id="rId39" Type="http://schemas.openxmlformats.org/officeDocument/2006/relationships/hyperlink" Target="https://drive.google.com/file/d/1K3Kqc2E1p0OBawwtIPMCXZHZx6vYEPua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zWqsZU92kuhLz083PIBjXJWl6w9UGDTM/view?usp=drivesdk" TargetMode="External"/><Relationship  Id="rId41" Type="http://schemas.openxmlformats.org/officeDocument/2006/relationships/hyperlink" Target="https://drive.google.com/file/d/1RdybXkklFW3HbqMA8AKFGGnMRZsalI0x/view?usp=drivesdk" TargetMode="External"/><Relationship  Id="rId42" Type="http://schemas.openxmlformats.org/officeDocument/2006/relationships/hyperlink" Target="https://drive.google.com/file/d/1Qpkh7V28vWumf7dxUwEu-eF9NLCVIJ8E/view?usp=drivesdk" TargetMode="External"/><Relationship  Id="rId43" Type="http://schemas.openxmlformats.org/officeDocument/2006/relationships/hyperlink" Target="https://drive.google.com/file/d/1puGdke6h1uPM_P2PZDipi-LWpucG4B4D/view?usp=drivesdk" TargetMode="External"/><Relationship  Id="rId44" Type="http://schemas.openxmlformats.org/officeDocument/2006/relationships/hyperlink" Target="https://drive.google.com/file/d/1DxtGtfqKb0TJxGXIFjJlPRpEAviIaSz3/view?usp=drivesdk" TargetMode="External"/><Relationship  Id="rId45" Type="http://schemas.openxmlformats.org/officeDocument/2006/relationships/hyperlink" Target="https://drive.google.com/file/d/1ra54wyU7EBWabC2HDdED01oTtce-nVXL/view?usp=drivesdk" TargetMode="External"/><Relationship  Id="rId46" Type="http://schemas.openxmlformats.org/officeDocument/2006/relationships/hyperlink" Target="https://drive.google.com/file/d/1gVk0r3EMmebxgdRh0E25hgA5k5r07V_z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77" zoomScale="100" workbookViewId="0">
      <selection activeCell="A1" activeCellId="0" sqref="A1"/>
    </sheetView>
  </sheetViews>
  <sheetFormatPr defaultRowHeight="25.5" customHeight="1"/>
  <cols>
    <col bestFit="1" min="1" max="1" width="16.57421875"/>
    <col bestFit="1" min="2" max="2" width="39.78125"/>
    <col bestFit="1" min="3" max="3" width="65.50390625"/>
    <col bestFit="1" min="5" max="5" width="11.7109375"/>
    <col bestFit="1" min="9" max="9" width="145.57421875"/>
  </cols>
  <sheetData>
    <row r="1" ht="25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5.5" customHeight="1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5.5" customHeight="1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5.5" customHeight="1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5.5" customHeight="1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5.5" customHeight="1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5.5" customHeight="1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5.5" customHeight="1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5.5" customHeight="1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5.5" customHeight="1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5.5" customHeight="1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5.5" customHeight="1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5.5" customHeight="1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5.5" customHeight="1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5.5" customHeight="1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5.5" customHeight="1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5.5" customHeight="1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5.5" customHeight="1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25.5" customHeight="1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25.5" customHeight="1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25.5" customHeight="1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25.5" customHeight="1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25.5" customHeight="1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25.5" customHeight="1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25.5" customHeight="1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25.5" customHeight="1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25.5" customHeight="1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25.5" customHeight="1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25.5" customHeight="1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25.5" customHeight="1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25.5" customHeight="1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25.5" customHeight="1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25.5" customHeight="1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25.5" customHeight="1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25.5" customHeight="1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25.5" customHeight="1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25.5" customHeight="1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25.5" customHeight="1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25.5" customHeight="1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25.5" customHeight="1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25.5" customHeight="1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25.5" customHeight="1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25.5" customHeight="1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25.5" customHeight="1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25.5" customHeight="1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25.5" customHeight="1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25.5" customHeight="1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25.5" customHeight="1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25.5" customHeight="1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25.5" customHeight="1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25.5" customHeight="1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25.5" customHeight="1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25.5" customHeight="1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25.5" customHeight="1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25.5" customHeight="1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25.5" customHeight="1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25.5" customHeight="1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25.5" customHeight="1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25.5" customHeight="1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25.5" customHeight="1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25.5" customHeight="1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25.5" customHeight="1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25.5" customHeight="1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25.5" customHeight="1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25.5" customHeight="1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25.5" customHeight="1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25.5" customHeight="1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25.5" customHeight="1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25.5" customHeight="1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25.5" customHeight="1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25.5" customHeight="1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25.5" customHeight="1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25.5" customHeight="1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25.5" customHeight="1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25.5" customHeight="1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25.5" customHeight="1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25.5" customHeight="1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25.5" customHeight="1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25.5" customHeight="1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25.5" customHeight="1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25.5" customHeight="1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25.5" customHeight="1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25.5" customHeight="1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25.5" customHeight="1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25.5" customHeight="1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25.5" customHeight="1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25.5" customHeight="1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25.5" customHeight="1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25.5" customHeight="1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25.5" customHeight="1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25.5" customHeight="1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25.5" customHeight="1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25.5" customHeight="1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25.5" customHeight="1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25.5" customHeight="1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25.5" customHeight="1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25.5" customHeight="1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25.5" customHeight="1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25.5" customHeight="1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25.5" customHeight="1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25.5" customHeight="1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25.5" customHeight="1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25.5" customHeight="1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25.5" customHeight="1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25.5" customHeight="1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25.5" customHeight="1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25.5" customHeight="1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25.5" customHeight="1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25.5" customHeight="1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25.5" customHeight="1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25.5" customHeight="1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25.5" customHeight="1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25.5" customHeight="1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25.5" customHeight="1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25.5" customHeight="1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25.5" customHeight="1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25.5" customHeight="1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25.5" customHeight="1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25.5" customHeight="1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25.5" customHeight="1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25.5" customHeight="1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25.5" customHeight="1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25.5" customHeight="1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25.5" customHeight="1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25.5" customHeight="1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25.5" customHeight="1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25.5" customHeight="1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25.5" customHeight="1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25.5" customHeight="1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25.5" customHeight="1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25.5" customHeight="1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25.5" customHeight="1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25.5" customHeight="1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25.5" customHeight="1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25.5" customHeight="1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25.5" customHeight="1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25.5" customHeight="1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25.5" customHeight="1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25.5" customHeight="1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25.5" customHeight="1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25.5" customHeight="1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25.5" customHeight="1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25.5" customHeight="1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25.5" customHeight="1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25.5" customHeight="1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25.5" customHeight="1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25.5" customHeight="1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25.5" customHeight="1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25.5" customHeight="1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25.5" customHeight="1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25.5" customHeight="1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25.5" customHeight="1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25.5" customHeight="1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25.5" customHeight="1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25.5" customHeight="1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25.5" customHeight="1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25.5" customHeight="1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25.5" customHeight="1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25.5" customHeight="1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25.5" customHeight="1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25.5" customHeight="1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25.5" customHeight="1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25.5" customHeight="1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25.5" customHeight="1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25.5" customHeight="1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25.5" customHeight="1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25.5" customHeight="1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25.5" customHeight="1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25.5" customHeight="1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25.5" customHeight="1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25.5" customHeight="1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25.5" customHeight="1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25.5" customHeight="1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25.5" customHeight="1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25.5" customHeight="1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25.5" customHeight="1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25.5" customHeight="1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25.5" customHeight="1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25.5" customHeight="1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25.5" customHeight="1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25.5" customHeight="1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25.5" customHeight="1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25.5" customHeight="1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25.5" customHeight="1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25.5" customHeight="1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25.5" customHeight="1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25.5" customHeight="1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25.5" customHeight="1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25.5" customHeight="1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25.5" customHeight="1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25.5" customHeight="1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25.5" customHeight="1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25.5" customHeight="1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25.5" customHeight="1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25.5" customHeight="1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25.5" customHeight="1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25.5" customHeight="1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25.5" customHeight="1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25.5" customHeight="1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25.5" customHeight="1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25.5" customHeight="1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25.5" customHeight="1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25.5" customHeight="1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25.5" customHeight="1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25.5" customHeight="1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25.5" customHeight="1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25.5" customHeight="1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25.5" customHeight="1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25.5" customHeight="1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25.5" customHeight="1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25.5" customHeight="1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25.5" customHeight="1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25.5" customHeight="1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25.5" customHeight="1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25.5" customHeight="1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25.5" customHeight="1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25.5" customHeight="1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25.5" customHeight="1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25.5" customHeight="1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25.5" customHeight="1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25.5" customHeight="1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25.5" customHeight="1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25.5" customHeight="1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25.5" customHeight="1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25.5" customHeight="1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25.5" customHeight="1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25.5" customHeight="1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25.5" customHeight="1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25.5" customHeight="1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25.5" customHeight="1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25.5" customHeight="1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25.5" customHeight="1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25.5" customHeight="1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25.5" customHeight="1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25.5" customHeight="1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25.5" customHeight="1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25.5" customHeight="1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25.5" customHeight="1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25.5" customHeight="1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25.5" customHeight="1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25.5" customHeight="1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25.5" customHeight="1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25.5" customHeight="1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25.5" customHeight="1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25.5" customHeight="1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25.5" customHeight="1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25.5" customHeight="1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25.5" customHeight="1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25.5" customHeight="1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25.5" customHeight="1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25.5" customHeight="1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25.5" customHeight="1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25.5" customHeight="1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25.5" customHeight="1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25.5" customHeight="1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25.5" customHeight="1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25.5" customHeight="1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25.5" customHeight="1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25.5" customHeight="1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25.5" customHeight="1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25.5" customHeight="1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25.5" customHeight="1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25.5" customHeight="1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25.5" customHeight="1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25.5" customHeight="1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25.5" customHeight="1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25.5" customHeight="1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25.5" customHeight="1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25.5" customHeight="1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25.5" customHeight="1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25.5" customHeight="1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25.5" customHeight="1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25.5" customHeight="1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25.5" customHeight="1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25.5" customHeight="1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25.5" customHeight="1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25.5" customHeight="1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25.5" customHeight="1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25.5" customHeight="1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25.5" customHeight="1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25.5" customHeight="1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25.5" customHeight="1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25.5" customHeight="1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25.5" customHeight="1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25.5" customHeight="1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25.5" customHeight="1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25.5" customHeight="1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 t="s">
        <v>1491</v>
      </c>
      <c r="G287" s="181" t="s">
        <v>1492</v>
      </c>
      <c r="H287" s="181" t="s">
        <v>1493</v>
      </c>
      <c r="I287" s="182" t="s">
        <v>1494</v>
      </c>
    </row>
    <row r="288" ht="25.5" customHeight="1">
      <c r="A288" s="183" t="s">
        <v>809</v>
      </c>
      <c r="B288" s="184" t="s">
        <v>1495</v>
      </c>
      <c r="C288" s="185" t="s">
        <v>1496</v>
      </c>
      <c r="D288" s="186" t="s">
        <v>1497</v>
      </c>
      <c r="E288" s="187">
        <v>46140</v>
      </c>
      <c r="F288" s="188" t="s">
        <v>1498</v>
      </c>
      <c r="G288" s="189" t="s">
        <v>1499</v>
      </c>
      <c r="H288" s="189" t="s">
        <v>1500</v>
      </c>
      <c r="I288" s="190" t="s">
        <v>1494</v>
      </c>
      <c r="J288" s="191"/>
      <c r="K288" s="191"/>
    </row>
    <row r="289" ht="25.5" customHeight="1">
      <c r="A289" s="192" t="s">
        <v>809</v>
      </c>
      <c r="B289" s="193" t="s">
        <v>1501</v>
      </c>
      <c r="C289" s="194" t="s">
        <v>1502</v>
      </c>
      <c r="D289" s="195" t="s">
        <v>1503</v>
      </c>
      <c r="E289" s="196">
        <v>46140</v>
      </c>
      <c r="F289" s="197" t="s">
        <v>1504</v>
      </c>
      <c r="G289" s="198" t="s">
        <v>1505</v>
      </c>
      <c r="H289" s="198" t="s">
        <v>1506</v>
      </c>
      <c r="I289" s="199" t="s">
        <v>1494</v>
      </c>
      <c r="J289" s="191"/>
      <c r="K289" s="191"/>
    </row>
    <row r="290" ht="25.5" customHeight="1">
      <c r="A290" s="200" t="s">
        <v>1507</v>
      </c>
      <c r="B290" s="201" t="s">
        <v>1508</v>
      </c>
      <c r="C290" s="202" t="s">
        <v>1509</v>
      </c>
      <c r="D290" s="195" t="s">
        <v>1510</v>
      </c>
      <c r="E290" s="203">
        <v>46140</v>
      </c>
      <c r="F290" s="204" t="s">
        <v>1511</v>
      </c>
      <c r="G290" s="205" t="s">
        <v>1512</v>
      </c>
      <c r="H290" s="205" t="s">
        <v>1513</v>
      </c>
      <c r="I290" s="206" t="s">
        <v>1514</v>
      </c>
      <c r="J290" s="191"/>
      <c r="K290" s="191"/>
    </row>
    <row r="291" ht="25.5" customHeight="1">
      <c r="A291" s="200" t="s">
        <v>1507</v>
      </c>
      <c r="B291" s="207" t="s">
        <v>1515</v>
      </c>
      <c r="C291" s="194" t="s">
        <v>1516</v>
      </c>
      <c r="D291" s="195" t="s">
        <v>1517</v>
      </c>
      <c r="E291" s="196">
        <v>46140</v>
      </c>
      <c r="F291" s="197" t="s">
        <v>1518</v>
      </c>
      <c r="G291" s="198" t="s">
        <v>1519</v>
      </c>
      <c r="H291" s="198" t="s">
        <v>1520</v>
      </c>
      <c r="I291" s="199" t="s">
        <v>1514</v>
      </c>
      <c r="J291" s="191"/>
      <c r="K291" s="191"/>
    </row>
    <row r="292" ht="25.5" customHeight="1">
      <c r="A292" s="200" t="s">
        <v>1507</v>
      </c>
      <c r="B292" s="208" t="s">
        <v>1521</v>
      </c>
      <c r="C292" s="202" t="s">
        <v>1522</v>
      </c>
      <c r="D292" s="195" t="s">
        <v>1523</v>
      </c>
      <c r="E292" s="203">
        <v>46140</v>
      </c>
      <c r="F292" s="204" t="s">
        <v>1524</v>
      </c>
      <c r="G292" s="205" t="s">
        <v>1525</v>
      </c>
      <c r="H292" s="205" t="s">
        <v>1526</v>
      </c>
      <c r="I292" s="206" t="s">
        <v>1514</v>
      </c>
      <c r="J292" s="191"/>
      <c r="K292" s="191"/>
    </row>
    <row r="293" ht="25.5" customHeight="1">
      <c r="A293" s="200" t="s">
        <v>1507</v>
      </c>
      <c r="B293" s="207" t="s">
        <v>1527</v>
      </c>
      <c r="C293" s="194" t="s">
        <v>1528</v>
      </c>
      <c r="D293" s="195" t="s">
        <v>1529</v>
      </c>
      <c r="E293" s="196">
        <v>46140</v>
      </c>
      <c r="F293" s="197" t="s">
        <v>1530</v>
      </c>
      <c r="G293" s="198" t="s">
        <v>1531</v>
      </c>
      <c r="H293" s="198" t="s">
        <v>1532</v>
      </c>
      <c r="I293" s="199" t="s">
        <v>1514</v>
      </c>
      <c r="J293" s="191"/>
      <c r="K293" s="191"/>
    </row>
    <row r="294" ht="25.5" customHeight="1">
      <c r="A294" s="200" t="s">
        <v>1507</v>
      </c>
      <c r="B294" s="208" t="s">
        <v>1533</v>
      </c>
      <c r="C294" s="202" t="s">
        <v>1534</v>
      </c>
      <c r="D294" s="195" t="s">
        <v>1535</v>
      </c>
      <c r="E294" s="203">
        <v>46140</v>
      </c>
      <c r="F294" s="204" t="s">
        <v>1536</v>
      </c>
      <c r="G294" s="205" t="s">
        <v>1537</v>
      </c>
      <c r="H294" s="205" t="s">
        <v>1538</v>
      </c>
      <c r="I294" s="206" t="s">
        <v>1514</v>
      </c>
      <c r="J294" s="191"/>
      <c r="K294" s="191"/>
    </row>
    <row r="295" ht="25.5" customHeight="1">
      <c r="A295" s="200" t="s">
        <v>1507</v>
      </c>
      <c r="B295" s="207" t="s">
        <v>1539</v>
      </c>
      <c r="C295" s="194" t="s">
        <v>1540</v>
      </c>
      <c r="D295" s="195" t="s">
        <v>1541</v>
      </c>
      <c r="E295" s="196">
        <v>46140</v>
      </c>
      <c r="F295" s="197" t="s">
        <v>1542</v>
      </c>
      <c r="G295" s="198" t="s">
        <v>1543</v>
      </c>
      <c r="H295" s="198" t="s">
        <v>1544</v>
      </c>
      <c r="I295" s="199" t="s">
        <v>1514</v>
      </c>
      <c r="J295" s="191"/>
      <c r="K295" s="191"/>
    </row>
    <row r="296" ht="25.5" customHeight="1">
      <c r="A296" s="200" t="s">
        <v>1507</v>
      </c>
      <c r="B296" s="208" t="s">
        <v>1545</v>
      </c>
      <c r="C296" s="202" t="s">
        <v>1546</v>
      </c>
      <c r="D296" s="195" t="s">
        <v>1547</v>
      </c>
      <c r="E296" s="203">
        <v>46140</v>
      </c>
      <c r="F296" s="204" t="s">
        <v>1548</v>
      </c>
      <c r="G296" s="205" t="s">
        <v>1549</v>
      </c>
      <c r="H296" s="205" t="s">
        <v>1550</v>
      </c>
      <c r="I296" s="206" t="s">
        <v>1551</v>
      </c>
      <c r="J296" s="191"/>
      <c r="K296" s="191"/>
    </row>
    <row r="297" ht="25.5" customHeight="1">
      <c r="A297" s="200" t="s">
        <v>1507</v>
      </c>
      <c r="B297" s="207" t="s">
        <v>1552</v>
      </c>
      <c r="C297" s="194" t="s">
        <v>1553</v>
      </c>
      <c r="D297" s="195" t="s">
        <v>1554</v>
      </c>
      <c r="E297" s="196">
        <v>46140</v>
      </c>
      <c r="F297" s="197" t="s">
        <v>1555</v>
      </c>
      <c r="G297" s="198" t="s">
        <v>1556</v>
      </c>
      <c r="H297" s="198" t="s">
        <v>1557</v>
      </c>
      <c r="I297" s="199" t="s">
        <v>1551</v>
      </c>
      <c r="J297" s="191"/>
      <c r="K297" s="191"/>
    </row>
    <row r="298" ht="25.5" customHeight="1">
      <c r="A298" s="200" t="s">
        <v>1507</v>
      </c>
      <c r="B298" s="208" t="s">
        <v>1558</v>
      </c>
      <c r="C298" s="202" t="s">
        <v>1559</v>
      </c>
      <c r="D298" s="195" t="s">
        <v>1560</v>
      </c>
      <c r="E298" s="203">
        <v>46140</v>
      </c>
      <c r="F298" s="204" t="s">
        <v>1561</v>
      </c>
      <c r="G298" s="205" t="s">
        <v>1562</v>
      </c>
      <c r="H298" s="205" t="s">
        <v>1563</v>
      </c>
      <c r="I298" s="206" t="s">
        <v>1551</v>
      </c>
      <c r="J298" s="191"/>
      <c r="K298" s="191"/>
    </row>
    <row r="299" ht="25.5" customHeight="1">
      <c r="A299" s="200" t="s">
        <v>1507</v>
      </c>
      <c r="B299" s="207" t="s">
        <v>1564</v>
      </c>
      <c r="C299" s="194" t="s">
        <v>1565</v>
      </c>
      <c r="D299" s="195" t="s">
        <v>1566</v>
      </c>
      <c r="E299" s="196">
        <v>46140</v>
      </c>
      <c r="F299" s="197" t="s">
        <v>1567</v>
      </c>
      <c r="G299" s="198" t="s">
        <v>1568</v>
      </c>
      <c r="H299" s="198" t="s">
        <v>1569</v>
      </c>
      <c r="I299" s="199" t="s">
        <v>1551</v>
      </c>
      <c r="J299" s="191"/>
      <c r="K299" s="191"/>
    </row>
    <row r="300" ht="25.5" customHeight="1">
      <c r="A300" s="200" t="s">
        <v>1507</v>
      </c>
      <c r="B300" s="208" t="s">
        <v>1570</v>
      </c>
      <c r="C300" s="202" t="s">
        <v>1571</v>
      </c>
      <c r="D300" s="195" t="s">
        <v>1572</v>
      </c>
      <c r="E300" s="203">
        <v>46140</v>
      </c>
      <c r="F300" s="204" t="s">
        <v>1573</v>
      </c>
      <c r="G300" s="205" t="s">
        <v>1574</v>
      </c>
      <c r="H300" s="205" t="s">
        <v>1575</v>
      </c>
      <c r="I300" s="206" t="s">
        <v>1551</v>
      </c>
      <c r="J300" s="191"/>
      <c r="K300" s="191"/>
    </row>
    <row r="301" ht="25.5" customHeight="1">
      <c r="A301" s="200" t="s">
        <v>1507</v>
      </c>
      <c r="B301" s="207" t="s">
        <v>1576</v>
      </c>
      <c r="C301" s="194" t="s">
        <v>1577</v>
      </c>
      <c r="D301" s="195" t="s">
        <v>1578</v>
      </c>
      <c r="E301" s="196">
        <v>46140</v>
      </c>
      <c r="F301" s="197" t="s">
        <v>1579</v>
      </c>
      <c r="G301" s="198" t="s">
        <v>1580</v>
      </c>
      <c r="H301" s="198" t="s">
        <v>1581</v>
      </c>
      <c r="I301" s="199" t="s">
        <v>1551</v>
      </c>
      <c r="J301" s="191"/>
      <c r="K301" s="191"/>
    </row>
    <row r="302" ht="25.5" customHeight="1">
      <c r="A302" s="200" t="s">
        <v>1507</v>
      </c>
      <c r="B302" s="208" t="s">
        <v>1582</v>
      </c>
      <c r="C302" s="202" t="s">
        <v>1583</v>
      </c>
      <c r="D302" s="195" t="s">
        <v>1584</v>
      </c>
      <c r="E302" s="203">
        <v>46140</v>
      </c>
      <c r="F302" s="204" t="s">
        <v>1585</v>
      </c>
      <c r="G302" s="205" t="s">
        <v>1586</v>
      </c>
      <c r="H302" s="205" t="s">
        <v>1587</v>
      </c>
      <c r="I302" s="206" t="s">
        <v>1551</v>
      </c>
      <c r="J302" s="191"/>
      <c r="K302" s="191"/>
    </row>
    <row r="303" ht="25.5" customHeight="1">
      <c r="A303" s="209" t="s">
        <v>1507</v>
      </c>
      <c r="B303" s="210" t="s">
        <v>1588</v>
      </c>
      <c r="C303" s="211" t="s">
        <v>1589</v>
      </c>
      <c r="D303" s="195" t="s">
        <v>1590</v>
      </c>
      <c r="E303" s="196">
        <v>46140</v>
      </c>
      <c r="F303" s="197" t="s">
        <v>1591</v>
      </c>
      <c r="G303" s="198" t="s">
        <v>1592</v>
      </c>
      <c r="H303" s="198" t="s">
        <v>1593</v>
      </c>
      <c r="I303" s="199" t="s">
        <v>1594</v>
      </c>
      <c r="J303" s="191"/>
      <c r="K303" s="191"/>
    </row>
    <row r="304" ht="25.5" customHeight="1">
      <c r="A304" s="212" t="s">
        <v>1595</v>
      </c>
      <c r="B304" s="204" t="s">
        <v>1596</v>
      </c>
      <c r="C304" s="213" t="s">
        <v>1597</v>
      </c>
      <c r="D304" s="195" t="s">
        <v>1598</v>
      </c>
      <c r="E304" s="203">
        <v>46140</v>
      </c>
      <c r="F304" s="204" t="s">
        <v>1599</v>
      </c>
      <c r="G304" s="205" t="s">
        <v>1600</v>
      </c>
      <c r="H304" s="205" t="s">
        <v>1601</v>
      </c>
      <c r="I304" s="206" t="s">
        <v>1602</v>
      </c>
      <c r="J304" s="191"/>
      <c r="K304" s="191"/>
    </row>
    <row r="305" ht="25.5" customHeight="1">
      <c r="A305" s="209" t="s">
        <v>1595</v>
      </c>
      <c r="B305" s="214" t="s">
        <v>1603</v>
      </c>
      <c r="C305" s="215" t="s">
        <v>1604</v>
      </c>
      <c r="D305" s="195" t="s">
        <v>1605</v>
      </c>
      <c r="E305" s="196">
        <v>46140</v>
      </c>
      <c r="F305" s="197" t="s">
        <v>1606</v>
      </c>
      <c r="G305" s="198" t="s">
        <v>1607</v>
      </c>
      <c r="H305" s="198" t="s">
        <v>1608</v>
      </c>
      <c r="I305" s="199" t="s">
        <v>1602</v>
      </c>
      <c r="J305" s="191"/>
      <c r="K305" s="191"/>
    </row>
    <row r="306" ht="25.5" customHeight="1">
      <c r="A306" s="212" t="s">
        <v>1595</v>
      </c>
      <c r="B306" s="216" t="s">
        <v>1609</v>
      </c>
      <c r="C306" s="217" t="s">
        <v>1610</v>
      </c>
      <c r="D306" s="195" t="s">
        <v>1611</v>
      </c>
      <c r="E306" s="203">
        <v>46140</v>
      </c>
      <c r="F306" s="204" t="s">
        <v>1612</v>
      </c>
      <c r="G306" s="205" t="s">
        <v>1613</v>
      </c>
      <c r="H306" s="205" t="s">
        <v>1614</v>
      </c>
      <c r="I306" s="206" t="s">
        <v>1602</v>
      </c>
      <c r="J306" s="191"/>
      <c r="K306" s="191"/>
    </row>
    <row r="307" ht="25.5" customHeight="1">
      <c r="A307" s="218" t="s">
        <v>900</v>
      </c>
      <c r="B307" s="219" t="s">
        <v>1615</v>
      </c>
      <c r="C307" s="220" t="s">
        <v>1616</v>
      </c>
      <c r="D307" s="195" t="s">
        <v>1617</v>
      </c>
      <c r="E307" s="196">
        <v>46141</v>
      </c>
      <c r="F307" s="197" t="s">
        <v>1618</v>
      </c>
      <c r="G307" s="198" t="s">
        <v>1619</v>
      </c>
      <c r="H307" s="198" t="s">
        <v>1620</v>
      </c>
      <c r="I307" s="199" t="s">
        <v>1621</v>
      </c>
      <c r="J307" s="191"/>
      <c r="K307" s="191"/>
    </row>
    <row r="308" ht="25.5" customHeight="1">
      <c r="A308" s="221" t="s">
        <v>1622</v>
      </c>
      <c r="B308" s="222" t="s">
        <v>1623</v>
      </c>
      <c r="C308" s="223" t="s">
        <v>1624</v>
      </c>
      <c r="D308" s="195" t="s">
        <v>1625</v>
      </c>
      <c r="E308" s="203">
        <v>46139</v>
      </c>
      <c r="F308" s="204" t="s">
        <v>1626</v>
      </c>
      <c r="G308" s="205" t="s">
        <v>1627</v>
      </c>
      <c r="H308" s="205" t="s">
        <v>1628</v>
      </c>
      <c r="I308" s="206" t="s">
        <v>1629</v>
      </c>
      <c r="J308" s="191"/>
      <c r="K308" s="191"/>
    </row>
    <row r="309" ht="25.5" customHeight="1">
      <c r="A309" s="221" t="s">
        <v>1622</v>
      </c>
      <c r="B309" s="224" t="s">
        <v>1630</v>
      </c>
      <c r="C309" s="220" t="s">
        <v>1631</v>
      </c>
      <c r="D309" s="195" t="s">
        <v>1632</v>
      </c>
      <c r="E309" s="196">
        <v>46139</v>
      </c>
      <c r="F309" s="197" t="s">
        <v>1633</v>
      </c>
      <c r="G309" s="198" t="s">
        <v>1634</v>
      </c>
      <c r="H309" s="198" t="s">
        <v>1635</v>
      </c>
      <c r="I309" s="199" t="s">
        <v>1629</v>
      </c>
      <c r="J309" s="191"/>
      <c r="K309" s="191"/>
    </row>
    <row r="310" ht="25.5" customHeight="1">
      <c r="A310" s="221" t="s">
        <v>1622</v>
      </c>
      <c r="B310" s="225" t="s">
        <v>1636</v>
      </c>
      <c r="C310" s="223" t="s">
        <v>1637</v>
      </c>
      <c r="D310" s="195" t="s">
        <v>1638</v>
      </c>
      <c r="E310" s="203">
        <v>46139</v>
      </c>
      <c r="F310" s="204" t="s">
        <v>1639</v>
      </c>
      <c r="G310" s="205" t="s">
        <v>1640</v>
      </c>
      <c r="H310" s="205" t="s">
        <v>1641</v>
      </c>
      <c r="I310" s="206" t="s">
        <v>1629</v>
      </c>
      <c r="J310" s="191"/>
      <c r="K310" s="191"/>
    </row>
    <row r="311" ht="25.5" customHeight="1">
      <c r="A311" s="221" t="s">
        <v>1622</v>
      </c>
      <c r="B311" s="226" t="s">
        <v>1642</v>
      </c>
      <c r="C311" s="227" t="s">
        <v>1643</v>
      </c>
      <c r="D311" s="195" t="s">
        <v>1644</v>
      </c>
      <c r="E311" s="196">
        <v>46139</v>
      </c>
      <c r="F311" s="197" t="s">
        <v>1645</v>
      </c>
      <c r="G311" s="198" t="s">
        <v>1646</v>
      </c>
      <c r="H311" s="198" t="s">
        <v>1647</v>
      </c>
      <c r="I311" s="199" t="s">
        <v>1629</v>
      </c>
      <c r="J311" s="191"/>
      <c r="K311" s="191"/>
    </row>
    <row r="312" ht="25.5" customHeight="1">
      <c r="A312" s="228" t="s">
        <v>1622</v>
      </c>
      <c r="B312" s="229" t="s">
        <v>1648</v>
      </c>
      <c r="C312" s="230" t="s">
        <v>1649</v>
      </c>
      <c r="D312" s="195" t="s">
        <v>1650</v>
      </c>
      <c r="E312" s="203">
        <v>46139</v>
      </c>
      <c r="F312" s="204" t="s">
        <v>1651</v>
      </c>
      <c r="G312" s="205" t="s">
        <v>1652</v>
      </c>
      <c r="H312" s="205" t="s">
        <v>1653</v>
      </c>
      <c r="I312" s="206" t="s">
        <v>1654</v>
      </c>
      <c r="J312" s="191"/>
      <c r="K312" s="191"/>
    </row>
    <row r="313" ht="25.5" customHeight="1">
      <c r="A313" s="218" t="s">
        <v>1655</v>
      </c>
      <c r="B313" s="197" t="s">
        <v>1656</v>
      </c>
      <c r="C313" s="231" t="s">
        <v>1657</v>
      </c>
      <c r="D313" s="195" t="s">
        <v>1658</v>
      </c>
      <c r="E313" s="196">
        <v>46139</v>
      </c>
      <c r="F313" s="197" t="s">
        <v>1659</v>
      </c>
      <c r="G313" s="198" t="s">
        <v>1660</v>
      </c>
      <c r="H313" s="198" t="s">
        <v>1661</v>
      </c>
      <c r="I313" s="199" t="s">
        <v>1662</v>
      </c>
      <c r="J313" s="191"/>
      <c r="K313" s="191"/>
    </row>
    <row r="314" ht="25.5" customHeight="1">
      <c r="A314" s="232" t="s">
        <v>1655</v>
      </c>
      <c r="B314" s="233" t="s">
        <v>1663</v>
      </c>
      <c r="C314" s="234" t="s">
        <v>1664</v>
      </c>
      <c r="D314" s="195" t="s">
        <v>1665</v>
      </c>
      <c r="E314" s="235">
        <v>46139</v>
      </c>
      <c r="F314" s="236" t="s">
        <v>1666</v>
      </c>
      <c r="G314" s="237" t="s">
        <v>1667</v>
      </c>
      <c r="H314" s="237" t="s">
        <v>1668</v>
      </c>
      <c r="I314" s="238" t="s">
        <v>1662</v>
      </c>
      <c r="J314" s="191"/>
      <c r="K314" s="191"/>
    </row>
    <row r="315" ht="25.5" customHeight="1">
      <c r="A315" s="212" t="s">
        <v>1622</v>
      </c>
      <c r="B315" s="239" t="s">
        <v>1669</v>
      </c>
      <c r="C315" s="240" t="s">
        <v>1670</v>
      </c>
      <c r="D315" s="195" t="s">
        <v>1671</v>
      </c>
      <c r="E315" s="203">
        <v>46142</v>
      </c>
      <c r="F315" s="204" t="s">
        <v>1672</v>
      </c>
      <c r="G315" s="205" t="s">
        <v>1673</v>
      </c>
      <c r="H315" s="205" t="s">
        <v>1674</v>
      </c>
      <c r="I315" s="206" t="s">
        <v>1675</v>
      </c>
      <c r="J315" s="191"/>
      <c r="K315" s="191"/>
    </row>
    <row r="316" ht="25.5" customHeight="1">
      <c r="A316" s="209" t="s">
        <v>1622</v>
      </c>
      <c r="B316" s="241" t="s">
        <v>1669</v>
      </c>
      <c r="C316" s="215" t="s">
        <v>1676</v>
      </c>
      <c r="D316" s="195" t="s">
        <v>1677</v>
      </c>
      <c r="E316" s="196">
        <v>46142</v>
      </c>
      <c r="F316" s="197" t="s">
        <v>1678</v>
      </c>
      <c r="G316" s="198" t="s">
        <v>1679</v>
      </c>
      <c r="H316" s="198" t="s">
        <v>1680</v>
      </c>
      <c r="I316" s="199" t="s">
        <v>1675</v>
      </c>
      <c r="J316" s="191"/>
      <c r="K316" s="191"/>
    </row>
    <row r="317" ht="25.5" customHeight="1">
      <c r="A317" s="212" t="s">
        <v>1622</v>
      </c>
      <c r="B317" s="216" t="s">
        <v>1681</v>
      </c>
      <c r="C317" s="240" t="s">
        <v>1682</v>
      </c>
      <c r="D317" s="195" t="s">
        <v>1683</v>
      </c>
      <c r="E317" s="203">
        <v>46142</v>
      </c>
      <c r="F317" s="204" t="s">
        <v>1684</v>
      </c>
      <c r="G317" s="205" t="s">
        <v>1685</v>
      </c>
      <c r="H317" s="205" t="s">
        <v>1686</v>
      </c>
      <c r="I317" s="206" t="s">
        <v>1675</v>
      </c>
      <c r="J317" s="191"/>
      <c r="K317" s="191"/>
    </row>
    <row r="318" ht="25.5" customHeight="1">
      <c r="A318" s="212" t="s">
        <v>1622</v>
      </c>
      <c r="B318" s="241" t="s">
        <v>1681</v>
      </c>
      <c r="C318" s="215" t="s">
        <v>1687</v>
      </c>
      <c r="D318" s="195" t="s">
        <v>1688</v>
      </c>
      <c r="E318" s="196">
        <v>46142</v>
      </c>
      <c r="F318" s="197" t="s">
        <v>1689</v>
      </c>
      <c r="G318" s="198" t="s">
        <v>1690</v>
      </c>
      <c r="H318" s="198" t="s">
        <v>1691</v>
      </c>
      <c r="I318" s="199" t="s">
        <v>1675</v>
      </c>
      <c r="J318" s="191"/>
      <c r="K318" s="191"/>
    </row>
    <row r="319" ht="25.5" customHeight="1">
      <c r="A319" s="212" t="s">
        <v>1622</v>
      </c>
      <c r="B319" s="216" t="s">
        <v>1692</v>
      </c>
      <c r="C319" s="240" t="s">
        <v>1693</v>
      </c>
      <c r="D319" s="195" t="s">
        <v>1694</v>
      </c>
      <c r="E319" s="203">
        <v>46142</v>
      </c>
      <c r="F319" s="204" t="s">
        <v>1695</v>
      </c>
      <c r="G319" s="205" t="s">
        <v>1696</v>
      </c>
      <c r="H319" s="205" t="s">
        <v>1697</v>
      </c>
      <c r="I319" s="206" t="s">
        <v>1698</v>
      </c>
      <c r="J319" s="191"/>
      <c r="K319" s="191"/>
    </row>
    <row r="320" ht="25.5" customHeight="1">
      <c r="A320" s="212" t="s">
        <v>1622</v>
      </c>
      <c r="B320" s="241" t="s">
        <v>1692</v>
      </c>
      <c r="C320" s="215" t="s">
        <v>1699</v>
      </c>
      <c r="D320" s="195" t="s">
        <v>1700</v>
      </c>
      <c r="E320" s="196">
        <v>46142</v>
      </c>
      <c r="F320" s="197" t="s">
        <v>1701</v>
      </c>
      <c r="G320" s="198" t="s">
        <v>1702</v>
      </c>
      <c r="H320" s="198" t="s">
        <v>1703</v>
      </c>
      <c r="I320" s="199" t="s">
        <v>1698</v>
      </c>
      <c r="J320" s="191"/>
      <c r="K320" s="191"/>
    </row>
    <row r="321" ht="25.5" customHeight="1">
      <c r="A321" s="212" t="s">
        <v>1622</v>
      </c>
      <c r="B321" s="216" t="s">
        <v>1692</v>
      </c>
      <c r="C321" s="240" t="s">
        <v>1704</v>
      </c>
      <c r="D321" s="195" t="s">
        <v>1705</v>
      </c>
      <c r="E321" s="203">
        <v>46142</v>
      </c>
      <c r="F321" s="204" t="s">
        <v>1706</v>
      </c>
      <c r="G321" s="205" t="s">
        <v>1707</v>
      </c>
      <c r="H321" s="205" t="s">
        <v>1708</v>
      </c>
      <c r="I321" s="206" t="s">
        <v>1698</v>
      </c>
      <c r="J321" s="191"/>
      <c r="K321" s="191"/>
    </row>
    <row r="322" ht="25.5" customHeight="1">
      <c r="A322" s="212" t="s">
        <v>1622</v>
      </c>
      <c r="B322" s="241" t="s">
        <v>1709</v>
      </c>
      <c r="C322" s="215" t="s">
        <v>1710</v>
      </c>
      <c r="D322" s="195" t="s">
        <v>1711</v>
      </c>
      <c r="E322" s="196">
        <v>46142</v>
      </c>
      <c r="F322" s="197" t="s">
        <v>1712</v>
      </c>
      <c r="G322" s="198" t="s">
        <v>1713</v>
      </c>
      <c r="H322" s="198" t="s">
        <v>1714</v>
      </c>
      <c r="I322" s="199" t="s">
        <v>1698</v>
      </c>
      <c r="J322" s="191"/>
      <c r="K322" s="191"/>
    </row>
    <row r="323" ht="25.5" customHeight="1">
      <c r="A323" s="212" t="s">
        <v>1622</v>
      </c>
      <c r="B323" s="216" t="s">
        <v>1709</v>
      </c>
      <c r="C323" s="240" t="s">
        <v>1715</v>
      </c>
      <c r="D323" s="195" t="s">
        <v>1716</v>
      </c>
      <c r="E323" s="203">
        <v>46142</v>
      </c>
      <c r="F323" s="204" t="s">
        <v>1717</v>
      </c>
      <c r="G323" s="205" t="s">
        <v>1718</v>
      </c>
      <c r="H323" s="205" t="s">
        <v>1719</v>
      </c>
      <c r="I323" s="206" t="s">
        <v>1698</v>
      </c>
      <c r="J323" s="191"/>
      <c r="K323" s="191"/>
    </row>
    <row r="324" ht="25.5" customHeight="1">
      <c r="A324" s="212" t="s">
        <v>1622</v>
      </c>
      <c r="B324" s="242" t="s">
        <v>1720</v>
      </c>
      <c r="C324" s="243" t="s">
        <v>1721</v>
      </c>
      <c r="D324" s="195" t="s">
        <v>1722</v>
      </c>
      <c r="E324" s="244">
        <v>46142</v>
      </c>
      <c r="F324" s="245" t="s">
        <v>1723</v>
      </c>
      <c r="G324" s="246" t="s">
        <v>1724</v>
      </c>
      <c r="H324" s="246" t="s">
        <v>1725</v>
      </c>
      <c r="I324" s="247" t="s">
        <v>1726</v>
      </c>
      <c r="J324" s="191"/>
      <c r="K324" s="191"/>
    </row>
    <row r="325" ht="25.5" customHeight="1">
      <c r="A325" s="248" t="s">
        <v>1622</v>
      </c>
      <c r="B325" s="249" t="s">
        <v>1727</v>
      </c>
      <c r="C325" s="250" t="s">
        <v>1728</v>
      </c>
      <c r="D325" s="186" t="s">
        <v>1729</v>
      </c>
      <c r="E325" s="251">
        <v>46144</v>
      </c>
      <c r="F325" s="188" t="s">
        <v>1730</v>
      </c>
      <c r="G325" s="189" t="s">
        <v>1731</v>
      </c>
      <c r="H325" s="189" t="s">
        <v>1732</v>
      </c>
      <c r="I325" s="190" t="s">
        <v>1733</v>
      </c>
      <c r="J325" s="191"/>
      <c r="K325" s="191"/>
    </row>
    <row r="326" ht="25.5" customHeight="1">
      <c r="A326" s="248" t="s">
        <v>1622</v>
      </c>
      <c r="B326" s="252" t="s">
        <v>1727</v>
      </c>
      <c r="C326" s="253" t="s">
        <v>1734</v>
      </c>
      <c r="D326" s="195" t="s">
        <v>1735</v>
      </c>
      <c r="E326" s="254">
        <v>46144</v>
      </c>
      <c r="F326" s="197" t="s">
        <v>1736</v>
      </c>
      <c r="G326" s="198" t="s">
        <v>1737</v>
      </c>
      <c r="H326" s="198" t="s">
        <v>1738</v>
      </c>
      <c r="I326" s="199" t="s">
        <v>1733</v>
      </c>
      <c r="J326" s="191"/>
      <c r="K326" s="191"/>
    </row>
    <row r="327" ht="25.5" customHeight="1">
      <c r="A327" s="212" t="s">
        <v>1622</v>
      </c>
      <c r="B327" s="255" t="s">
        <v>1739</v>
      </c>
      <c r="C327" s="256" t="s">
        <v>1740</v>
      </c>
      <c r="D327" s="195" t="s">
        <v>1741</v>
      </c>
      <c r="E327" s="257">
        <v>46144</v>
      </c>
      <c r="F327" s="204" t="s">
        <v>1742</v>
      </c>
      <c r="G327" s="205" t="s">
        <v>1743</v>
      </c>
      <c r="H327" s="205" t="s">
        <v>1744</v>
      </c>
      <c r="I327" s="206" t="s">
        <v>1733</v>
      </c>
      <c r="J327" s="191"/>
      <c r="K327" s="191"/>
    </row>
    <row r="328" ht="25.5" customHeight="1">
      <c r="A328" s="248" t="s">
        <v>1622</v>
      </c>
      <c r="B328" s="252" t="s">
        <v>1739</v>
      </c>
      <c r="C328" s="253" t="s">
        <v>1745</v>
      </c>
      <c r="D328" s="195" t="s">
        <v>1746</v>
      </c>
      <c r="E328" s="254">
        <v>46144</v>
      </c>
      <c r="F328" s="197" t="s">
        <v>1747</v>
      </c>
      <c r="G328" s="198" t="s">
        <v>1748</v>
      </c>
      <c r="H328" s="198" t="s">
        <v>1749</v>
      </c>
      <c r="I328" s="199" t="s">
        <v>1733</v>
      </c>
      <c r="J328" s="191"/>
      <c r="K328" s="191"/>
    </row>
    <row r="329" ht="25.5" customHeight="1">
      <c r="A329" s="212" t="s">
        <v>1622</v>
      </c>
      <c r="B329" s="255" t="s">
        <v>1750</v>
      </c>
      <c r="C329" s="256" t="s">
        <v>1751</v>
      </c>
      <c r="D329" s="195" t="s">
        <v>1752</v>
      </c>
      <c r="E329" s="257">
        <v>46144</v>
      </c>
      <c r="F329" s="204" t="s">
        <v>1753</v>
      </c>
      <c r="G329" s="205" t="s">
        <v>1754</v>
      </c>
      <c r="H329" s="205" t="s">
        <v>1755</v>
      </c>
      <c r="I329" s="206" t="s">
        <v>1733</v>
      </c>
      <c r="J329" s="191"/>
      <c r="K329" s="191"/>
    </row>
    <row r="330" ht="25.5" customHeight="1">
      <c r="A330" s="248" t="s">
        <v>1622</v>
      </c>
      <c r="B330" s="252" t="s">
        <v>1750</v>
      </c>
      <c r="C330" s="253" t="s">
        <v>1756</v>
      </c>
      <c r="D330" s="195" t="s">
        <v>1757</v>
      </c>
      <c r="E330" s="254">
        <v>46144</v>
      </c>
      <c r="F330" s="197" t="s">
        <v>1758</v>
      </c>
      <c r="G330" s="198" t="s">
        <v>1759</v>
      </c>
      <c r="H330" s="198" t="s">
        <v>1760</v>
      </c>
      <c r="I330" s="199" t="s">
        <v>1733</v>
      </c>
      <c r="J330" s="191"/>
      <c r="K330" s="191"/>
    </row>
    <row r="331" ht="25.5" customHeight="1">
      <c r="A331" s="212" t="s">
        <v>1622</v>
      </c>
      <c r="B331" s="255" t="s">
        <v>1761</v>
      </c>
      <c r="C331" s="256" t="s">
        <v>1762</v>
      </c>
      <c r="D331" s="195" t="s">
        <v>1763</v>
      </c>
      <c r="E331" s="257">
        <v>46144</v>
      </c>
      <c r="F331" s="204" t="s">
        <v>1764</v>
      </c>
      <c r="G331" s="205" t="s">
        <v>1765</v>
      </c>
      <c r="H331" s="205" t="s">
        <v>1766</v>
      </c>
      <c r="I331" s="206" t="s">
        <v>1733</v>
      </c>
      <c r="J331" s="191"/>
      <c r="K331" s="191"/>
    </row>
    <row r="332" ht="25.5" customHeight="1">
      <c r="A332" s="258" t="s">
        <v>421</v>
      </c>
      <c r="B332" s="259" t="s">
        <v>1767</v>
      </c>
      <c r="C332" s="253" t="s">
        <v>1768</v>
      </c>
      <c r="D332" s="195" t="s">
        <v>1769</v>
      </c>
      <c r="E332" s="254">
        <v>46147</v>
      </c>
      <c r="F332" s="197" t="s">
        <v>1770</v>
      </c>
      <c r="G332" s="198" t="s">
        <v>1771</v>
      </c>
      <c r="H332" s="198" t="s">
        <v>1772</v>
      </c>
      <c r="I332" s="199" t="s">
        <v>1773</v>
      </c>
      <c r="J332" s="191"/>
      <c r="K332" s="191"/>
    </row>
    <row r="333" ht="25.5" customHeight="1">
      <c r="A333" s="260" t="s">
        <v>153</v>
      </c>
      <c r="B333" s="255" t="s">
        <v>1774</v>
      </c>
      <c r="C333" s="256" t="s">
        <v>1775</v>
      </c>
      <c r="D333" s="195" t="s">
        <v>1776</v>
      </c>
      <c r="E333" s="257">
        <v>46148</v>
      </c>
      <c r="F333" s="204" t="s">
        <v>1777</v>
      </c>
      <c r="G333" s="205" t="s">
        <v>1778</v>
      </c>
      <c r="H333" s="205" t="s">
        <v>1779</v>
      </c>
      <c r="I333" s="206" t="s">
        <v>1780</v>
      </c>
      <c r="J333" s="191"/>
      <c r="K333" s="191"/>
    </row>
    <row r="334" ht="25.5" customHeight="1">
      <c r="A334" s="261" t="s">
        <v>153</v>
      </c>
      <c r="B334" s="252" t="s">
        <v>1781</v>
      </c>
      <c r="C334" s="253" t="s">
        <v>1782</v>
      </c>
      <c r="D334" s="195" t="s">
        <v>1783</v>
      </c>
      <c r="E334" s="254">
        <v>46148</v>
      </c>
      <c r="F334" s="197" t="s">
        <v>1784</v>
      </c>
      <c r="G334" s="198" t="s">
        <v>1785</v>
      </c>
      <c r="H334" s="198" t="s">
        <v>1786</v>
      </c>
      <c r="I334" s="199" t="s">
        <v>1780</v>
      </c>
      <c r="J334" s="191"/>
      <c r="K334" s="191"/>
    </row>
    <row r="335" ht="25.5" customHeight="1">
      <c r="A335" s="262" t="s">
        <v>421</v>
      </c>
      <c r="B335" s="255" t="s">
        <v>1787</v>
      </c>
      <c r="C335" s="256" t="s">
        <v>1788</v>
      </c>
      <c r="D335" s="195" t="s">
        <v>1789</v>
      </c>
      <c r="E335" s="257">
        <v>46148</v>
      </c>
      <c r="F335" s="204" t="s">
        <v>1790</v>
      </c>
      <c r="G335" s="205" t="s">
        <v>1791</v>
      </c>
      <c r="H335" s="205" t="s">
        <v>1792</v>
      </c>
      <c r="I335" s="206" t="s">
        <v>1793</v>
      </c>
      <c r="J335" s="191"/>
      <c r="K335" s="191"/>
    </row>
    <row r="336" ht="25.5" customHeight="1">
      <c r="A336" s="261" t="s">
        <v>421</v>
      </c>
      <c r="B336" s="263" t="s">
        <v>1794</v>
      </c>
      <c r="C336" s="264" t="s">
        <v>1795</v>
      </c>
      <c r="D336" s="195" t="s">
        <v>1796</v>
      </c>
      <c r="E336" s="265">
        <v>46148</v>
      </c>
      <c r="F336" s="245" t="s">
        <v>1797</v>
      </c>
      <c r="G336" s="246" t="s">
        <v>1798</v>
      </c>
      <c r="H336" s="246" t="s">
        <v>1799</v>
      </c>
      <c r="I336" s="247" t="s">
        <v>1800</v>
      </c>
      <c r="J336" s="191"/>
      <c r="K336" s="191"/>
    </row>
    <row r="337" ht="25.5" customHeight="1">
      <c r="A337" s="266" t="s">
        <v>843</v>
      </c>
      <c r="B337" s="267" t="s">
        <v>1801</v>
      </c>
      <c r="C337" s="268" t="s">
        <v>1802</v>
      </c>
      <c r="D337" s="186" t="s">
        <v>1803</v>
      </c>
      <c r="E337" s="269">
        <v>46148</v>
      </c>
      <c r="F337" s="270" t="s">
        <v>1804</v>
      </c>
      <c r="G337" s="271" t="s">
        <v>1805</v>
      </c>
      <c r="H337" s="271" t="s">
        <v>1806</v>
      </c>
      <c r="I337" s="272" t="s">
        <v>1807</v>
      </c>
      <c r="J337" s="191"/>
      <c r="K337" s="191"/>
    </row>
    <row r="338" ht="25.5" customHeight="1">
      <c r="A338" s="273" t="s">
        <v>1622</v>
      </c>
      <c r="B338" s="274" t="s">
        <v>1808</v>
      </c>
      <c r="C338" s="275" t="s">
        <v>1809</v>
      </c>
      <c r="D338" s="186" t="s">
        <v>1810</v>
      </c>
      <c r="E338" s="276">
        <v>46149</v>
      </c>
      <c r="F338" s="277" t="s">
        <v>1811</v>
      </c>
      <c r="G338" s="181" t="s">
        <v>1812</v>
      </c>
      <c r="H338" s="181" t="s">
        <v>1813</v>
      </c>
      <c r="I338" s="182" t="s">
        <v>1814</v>
      </c>
      <c r="J338" s="191"/>
      <c r="K338" s="191"/>
    </row>
    <row r="339" ht="25.5" customHeight="1">
      <c r="A339" s="273" t="s">
        <v>1622</v>
      </c>
      <c r="B339" s="278" t="s">
        <v>1808</v>
      </c>
      <c r="C339" s="279" t="s">
        <v>1815</v>
      </c>
      <c r="D339" s="195" t="s">
        <v>1816</v>
      </c>
      <c r="E339" s="280">
        <v>46149</v>
      </c>
      <c r="F339" s="204" t="s">
        <v>1817</v>
      </c>
      <c r="G339" s="205" t="s">
        <v>1818</v>
      </c>
      <c r="H339" s="205" t="s">
        <v>1819</v>
      </c>
      <c r="I339" s="206" t="s">
        <v>1814</v>
      </c>
      <c r="J339" s="191"/>
      <c r="K339" s="191"/>
    </row>
    <row r="340" ht="25.5" customHeight="1">
      <c r="A340" s="281" t="s">
        <v>1622</v>
      </c>
      <c r="B340" s="282" t="s">
        <v>1820</v>
      </c>
      <c r="C340" s="283" t="s">
        <v>1721</v>
      </c>
      <c r="D340" s="195" t="s">
        <v>1821</v>
      </c>
      <c r="E340" s="284">
        <v>46149</v>
      </c>
      <c r="F340" s="197" t="s">
        <v>1822</v>
      </c>
      <c r="G340" s="198" t="s">
        <v>1823</v>
      </c>
      <c r="H340" s="198" t="s">
        <v>1824</v>
      </c>
      <c r="I340" s="199" t="s">
        <v>1814</v>
      </c>
      <c r="J340" s="191"/>
      <c r="K340" s="191"/>
    </row>
    <row r="341" ht="25.5" customHeight="1">
      <c r="A341" s="273" t="s">
        <v>1622</v>
      </c>
      <c r="B341" s="285" t="s">
        <v>1820</v>
      </c>
      <c r="C341" s="286" t="s">
        <v>1825</v>
      </c>
      <c r="D341" s="195" t="s">
        <v>1826</v>
      </c>
      <c r="E341" s="287">
        <v>46149</v>
      </c>
      <c r="F341" s="288" t="s">
        <v>1827</v>
      </c>
      <c r="G341" s="289" t="s">
        <v>1828</v>
      </c>
      <c r="H341" s="289" t="s">
        <v>1829</v>
      </c>
      <c r="I341" s="290" t="s">
        <v>1814</v>
      </c>
      <c r="J341" s="191"/>
      <c r="K341" s="191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 tooltip=""/>
    <hyperlink r:id="rId286" ref="H287" tooltip=""/>
    <hyperlink r:id="rId287" ref="G288" tooltip=""/>
    <hyperlink r:id="rId287" ref="H288" tooltip=""/>
    <hyperlink r:id="rId288" ref="G289" tooltip=""/>
    <hyperlink r:id="rId288" ref="H289" tooltip=""/>
    <hyperlink r:id="rId289" ref="G290" tooltip=""/>
    <hyperlink r:id="rId289" ref="H290" tooltip=""/>
    <hyperlink r:id="rId290" ref="G291" tooltip=""/>
    <hyperlink r:id="rId290" ref="H291" tooltip=""/>
    <hyperlink r:id="rId291" ref="G292" tooltip=""/>
    <hyperlink r:id="rId291" ref="H292" tooltip=""/>
    <hyperlink r:id="rId292" ref="G293" tooltip=""/>
    <hyperlink r:id="rId292" ref="H293" tooltip=""/>
    <hyperlink r:id="rId293" ref="G294" tooltip=""/>
    <hyperlink r:id="rId293" ref="H294" tooltip=""/>
    <hyperlink r:id="rId294" ref="G295" tooltip=""/>
    <hyperlink r:id="rId294" ref="H295" tooltip=""/>
    <hyperlink r:id="rId295" ref="G296" tooltip=""/>
    <hyperlink r:id="rId295" ref="H296" tooltip=""/>
    <hyperlink r:id="rId296" ref="G297" tooltip=""/>
    <hyperlink r:id="rId296" ref="H297" tooltip=""/>
    <hyperlink r:id="rId297" ref="G298" tooltip=""/>
    <hyperlink r:id="rId297" ref="H298" tooltip=""/>
    <hyperlink r:id="rId298" ref="G299" tooltip=""/>
    <hyperlink r:id="rId298" ref="H299" tooltip=""/>
    <hyperlink r:id="rId299" ref="G300" tooltip=""/>
    <hyperlink r:id="rId299" ref="H300" tooltip=""/>
    <hyperlink r:id="rId300" ref="G301" tooltip=""/>
    <hyperlink r:id="rId300" ref="H301" tooltip=""/>
    <hyperlink r:id="rId301" ref="G302" tooltip=""/>
    <hyperlink r:id="rId301" ref="H302" tooltip=""/>
    <hyperlink r:id="rId302" ref="G303" tooltip=""/>
    <hyperlink r:id="rId302" ref="H303" tooltip=""/>
    <hyperlink r:id="rId303" ref="G304" tooltip=""/>
    <hyperlink r:id="rId303" ref="H304" tooltip=""/>
    <hyperlink r:id="rId304" ref="G305" tooltip=""/>
    <hyperlink r:id="rId304" ref="H305" tooltip=""/>
    <hyperlink r:id="rId305" ref="G306" tooltip=""/>
    <hyperlink r:id="rId305" ref="H306" tooltip=""/>
    <hyperlink r:id="rId306" ref="G307" tooltip=""/>
    <hyperlink r:id="rId306" ref="H307" tooltip=""/>
    <hyperlink r:id="rId307" ref="G308" tooltip=""/>
    <hyperlink r:id="rId307" ref="H308" tooltip=""/>
    <hyperlink r:id="rId308" ref="G309" tooltip=""/>
    <hyperlink r:id="rId308" ref="H309" tooltip=""/>
    <hyperlink r:id="rId309" ref="G310" tooltip=""/>
    <hyperlink r:id="rId309" ref="H310" tooltip=""/>
    <hyperlink r:id="rId310" ref="G311" tooltip=""/>
    <hyperlink r:id="rId310" ref="H311" tooltip=""/>
    <hyperlink r:id="rId311" ref="G312" tooltip=""/>
    <hyperlink r:id="rId311" ref="H312" tooltip=""/>
    <hyperlink r:id="rId312" ref="G313" tooltip=""/>
    <hyperlink r:id="rId312" ref="H313" tooltip=""/>
    <hyperlink r:id="rId313" ref="G314" tooltip=""/>
    <hyperlink r:id="rId313" ref="H314" tooltip=""/>
    <hyperlink r:id="rId314" ref="G315" tooltip=""/>
    <hyperlink r:id="rId314" ref="H315" tooltip=""/>
    <hyperlink r:id="rId315" ref="G316" tooltip=""/>
    <hyperlink r:id="rId315" ref="H316" tooltip=""/>
    <hyperlink r:id="rId316" ref="G317" tooltip=""/>
    <hyperlink r:id="rId316" ref="H317" tooltip=""/>
    <hyperlink r:id="rId317" ref="G318" tooltip=""/>
    <hyperlink r:id="rId317" ref="H318" tooltip=""/>
    <hyperlink r:id="rId318" ref="G319" tooltip=""/>
    <hyperlink r:id="rId318" ref="H319" tooltip=""/>
    <hyperlink r:id="rId319" ref="G320" tooltip=""/>
    <hyperlink r:id="rId319" ref="H320" tooltip=""/>
    <hyperlink r:id="rId320" ref="G321" tooltip=""/>
    <hyperlink r:id="rId320" ref="H321" tooltip=""/>
    <hyperlink r:id="rId321" ref="G322" tooltip=""/>
    <hyperlink r:id="rId321" ref="H322" tooltip=""/>
    <hyperlink r:id="rId322" ref="G323" tooltip=""/>
    <hyperlink r:id="rId322" ref="H323" tooltip=""/>
    <hyperlink r:id="rId323" ref="G324" tooltip=""/>
    <hyperlink r:id="rId323" ref="H324" tooltip=""/>
    <hyperlink r:id="rId324" ref="G325" tooltip=""/>
    <hyperlink r:id="rId324" ref="H325" tooltip=""/>
    <hyperlink r:id="rId325" ref="G326" tooltip=""/>
    <hyperlink r:id="rId325" ref="H326" tooltip=""/>
    <hyperlink r:id="rId326" ref="G327" tooltip=""/>
    <hyperlink r:id="rId326" ref="H327" tooltip=""/>
    <hyperlink r:id="rId327" ref="G328" tooltip=""/>
    <hyperlink r:id="rId327" ref="H328" tooltip=""/>
    <hyperlink r:id="rId328" ref="G329" tooltip=""/>
    <hyperlink r:id="rId328" ref="H329" tooltip=""/>
    <hyperlink r:id="rId329" ref="G330" tooltip=""/>
    <hyperlink r:id="rId329" ref="H330" tooltip=""/>
    <hyperlink r:id="rId330" ref="G331" tooltip=""/>
    <hyperlink r:id="rId330" ref="H331" tooltip=""/>
    <hyperlink r:id="rId331" ref="G332" tooltip=""/>
    <hyperlink r:id="rId331" ref="H332" tooltip=""/>
    <hyperlink r:id="rId332" ref="G333" tooltip=""/>
    <hyperlink r:id="rId332" ref="H333" tooltip=""/>
    <hyperlink r:id="rId333" ref="G334" tooltip=""/>
    <hyperlink r:id="rId333" ref="H334" tooltip=""/>
    <hyperlink r:id="rId334" ref="G335" tooltip=""/>
    <hyperlink r:id="rId334" ref="H335" tooltip=""/>
    <hyperlink r:id="rId335" ref="G336" tooltip=""/>
    <hyperlink r:id="rId335" ref="H336" tooltip=""/>
    <hyperlink r:id="rId336" ref="G337" tooltip=""/>
    <hyperlink r:id="rId336" ref="H337" tooltip=""/>
    <hyperlink r:id="rId337" ref="G338" tooltip=""/>
    <hyperlink r:id="rId337" ref="H338" tooltip=""/>
    <hyperlink r:id="rId338" ref="G339" tooltip=""/>
    <hyperlink r:id="rId338" ref="H339" tooltip=""/>
    <hyperlink r:id="rId339" ref="G340" tooltip=""/>
    <hyperlink r:id="rId339" ref="H340" tooltip=""/>
    <hyperlink r:id="rId340" ref="G341" tooltip=""/>
    <hyperlink r:id="rId340" ref="H341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3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1830</v>
      </c>
      <c r="C1" s="2" t="s">
        <v>1831</v>
      </c>
      <c r="D1" s="2" t="s">
        <v>2</v>
      </c>
      <c r="E1" s="2" t="s">
        <v>3</v>
      </c>
      <c r="F1" s="2" t="s">
        <v>4</v>
      </c>
      <c r="G1" s="3" t="s">
        <v>1832</v>
      </c>
      <c r="H1" s="3" t="s">
        <v>1833</v>
      </c>
      <c r="I1" s="3" t="s">
        <v>1834</v>
      </c>
      <c r="J1" s="4" t="s">
        <v>1835</v>
      </c>
    </row>
    <row r="2" ht="25.5" customHeight="1">
      <c r="A2" s="291" t="s">
        <v>843</v>
      </c>
      <c r="B2" s="292" t="s">
        <v>1836</v>
      </c>
      <c r="C2" s="293" t="s">
        <v>1837</v>
      </c>
      <c r="D2" s="294" t="s">
        <v>1838</v>
      </c>
      <c r="E2" s="122" t="s">
        <v>1839</v>
      </c>
      <c r="F2" s="116">
        <v>46055</v>
      </c>
      <c r="G2" s="293" t="s">
        <v>1840</v>
      </c>
      <c r="H2" s="295" t="s">
        <v>1841</v>
      </c>
      <c r="I2" s="296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97" t="s">
        <v>1842</v>
      </c>
      <c r="K2" s="298"/>
      <c r="L2" s="191"/>
    </row>
    <row r="3" ht="25.5" customHeight="1">
      <c r="A3" s="299" t="s">
        <v>1260</v>
      </c>
      <c r="B3" s="150" t="s">
        <v>1843</v>
      </c>
      <c r="C3" s="300" t="s">
        <v>1844</v>
      </c>
      <c r="D3" s="151" t="s">
        <v>1845</v>
      </c>
      <c r="E3" s="301" t="s">
        <v>1846</v>
      </c>
      <c r="F3" s="302">
        <v>46079</v>
      </c>
      <c r="G3" s="300" t="s">
        <v>1847</v>
      </c>
      <c r="H3" s="303" t="s">
        <v>1848</v>
      </c>
      <c r="I3" s="304" t="str">
        <f>HYPERLINK("https://drive.google.com/file/d/1RK4IQtEFiw81JG91LxPSTWPMud5keKs4/view?usp=drivesdk","School and Educational Psychology")</f>
        <v xml:space="preserve">School and Educational Psychology</v>
      </c>
      <c r="J3" s="305" t="s">
        <v>1849</v>
      </c>
      <c r="K3" s="298"/>
      <c r="L3" s="191"/>
    </row>
    <row r="4" ht="25.5" customHeight="1">
      <c r="A4" s="14" t="s">
        <v>1850</v>
      </c>
      <c r="B4" s="306" t="s">
        <v>1851</v>
      </c>
      <c r="C4" s="306" t="s">
        <v>1852</v>
      </c>
      <c r="D4" s="306" t="s">
        <v>1853</v>
      </c>
      <c r="E4" s="307" t="s">
        <v>1854</v>
      </c>
      <c r="F4" s="308">
        <v>45986</v>
      </c>
      <c r="G4" s="306" t="s">
        <v>1855</v>
      </c>
      <c r="H4" s="309" t="s">
        <v>1856</v>
      </c>
      <c r="I4" s="310" t="str">
        <f>HYPERLINK("https://drive.google.com/file/d/1vZeqDw02dpKrjC_ukelcdjyR-CfxCcLs/view?usp=drivesdk","AI &amp; ML na")</f>
        <v xml:space="preserve">AI &amp; ML na</v>
      </c>
      <c r="J4" s="311" t="s">
        <v>1857</v>
      </c>
      <c r="K4" s="298"/>
      <c r="L4" s="191"/>
    </row>
    <row r="5" ht="25.5" customHeight="1">
      <c r="A5" s="14" t="s">
        <v>1850</v>
      </c>
      <c r="B5" s="306" t="s">
        <v>1858</v>
      </c>
      <c r="C5" s="306" t="s">
        <v>1859</v>
      </c>
      <c r="D5" s="306" t="s">
        <v>1860</v>
      </c>
      <c r="E5" s="307" t="s">
        <v>1861</v>
      </c>
      <c r="F5" s="308">
        <v>46013</v>
      </c>
      <c r="G5" s="306" t="s">
        <v>1862</v>
      </c>
      <c r="H5" s="309" t="s">
        <v>1863</v>
      </c>
      <c r="I5" s="310" t="str">
        <f>HYPERLINK("https://drive.google.com/file/d/1BMtSJPBpgnqSwN1lKXQWOEEyilpxkwOd/view?usp=drivesdk","CSF")</f>
        <v>CSF</v>
      </c>
      <c r="J5" s="311" t="s">
        <v>1857</v>
      </c>
      <c r="K5" s="298"/>
      <c r="L5" s="191"/>
    </row>
    <row r="6" ht="25.5" customHeight="1">
      <c r="A6" s="14" t="s">
        <v>1850</v>
      </c>
      <c r="B6" s="306" t="s">
        <v>1864</v>
      </c>
      <c r="C6" s="306" t="s">
        <v>1865</v>
      </c>
      <c r="D6" s="306" t="s">
        <v>1866</v>
      </c>
      <c r="E6" s="307" t="s">
        <v>1867</v>
      </c>
      <c r="F6" s="308">
        <v>45986</v>
      </c>
      <c r="G6" s="306" t="s">
        <v>1868</v>
      </c>
      <c r="H6" s="309" t="s">
        <v>1869</v>
      </c>
      <c r="I6" s="310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311" t="s">
        <v>1857</v>
      </c>
      <c r="K6" s="298"/>
      <c r="L6" s="191"/>
    </row>
    <row r="7" ht="25.5" customHeight="1">
      <c r="A7" s="14" t="s">
        <v>1850</v>
      </c>
      <c r="B7" s="306" t="s">
        <v>1870</v>
      </c>
      <c r="C7" s="306" t="s">
        <v>1871</v>
      </c>
      <c r="D7" s="306" t="s">
        <v>1872</v>
      </c>
      <c r="E7" s="307" t="s">
        <v>1873</v>
      </c>
      <c r="F7" s="308">
        <v>45986</v>
      </c>
      <c r="G7" s="306" t="s">
        <v>1874</v>
      </c>
      <c r="H7" s="309" t="s">
        <v>1875</v>
      </c>
      <c r="I7" s="310" t="str">
        <f>HYPERLINK("https://drive.google.com/file/d/1y-jw_X0r3RMBdef7hZHcPcoedZzlqi5Z/view?usp=drivesdk","Core 2 - Fundamentals of Web Development")</f>
        <v xml:space="preserve">Core 2 - Fundamentals of Web Development</v>
      </c>
      <c r="J7" s="311" t="s">
        <v>1857</v>
      </c>
      <c r="K7" s="298"/>
      <c r="L7" s="191"/>
    </row>
    <row r="8" ht="25.5" customHeight="1">
      <c r="A8" s="14" t="s">
        <v>1850</v>
      </c>
      <c r="B8" s="306" t="s">
        <v>1876</v>
      </c>
      <c r="C8" s="306" t="s">
        <v>1877</v>
      </c>
      <c r="D8" s="306" t="s">
        <v>1878</v>
      </c>
      <c r="E8" s="307" t="s">
        <v>1879</v>
      </c>
      <c r="F8" s="308">
        <v>46013</v>
      </c>
      <c r="G8" s="306" t="s">
        <v>1880</v>
      </c>
      <c r="H8" s="309" t="s">
        <v>1881</v>
      </c>
      <c r="I8" s="310" t="str">
        <f>HYPERLINK("https://drive.google.com/file/d/1VNlma5pkuRrBgpv91x8iW6mZmmxw3MQ5/view?usp=drivesdk","AI &amp; ML")</f>
        <v xml:space="preserve">AI &amp; ML</v>
      </c>
      <c r="J8" s="311" t="s">
        <v>1857</v>
      </c>
      <c r="K8" s="298"/>
      <c r="L8" s="191"/>
    </row>
    <row r="9" ht="25.5" customHeight="1">
      <c r="A9" s="14" t="s">
        <v>1850</v>
      </c>
      <c r="B9" s="306" t="s">
        <v>1882</v>
      </c>
      <c r="C9" s="306" t="s">
        <v>1883</v>
      </c>
      <c r="D9" s="306" t="s">
        <v>1860</v>
      </c>
      <c r="E9" s="307" t="s">
        <v>1884</v>
      </c>
      <c r="F9" s="308">
        <v>45986</v>
      </c>
      <c r="G9" s="306" t="s">
        <v>1885</v>
      </c>
      <c r="H9" s="309" t="s">
        <v>1886</v>
      </c>
      <c r="I9" s="310" t="str">
        <f>HYPERLINK("https://drive.google.com/file/d/11RQIpvK8U4tF8vxfiLafwr2SoaA-_EJO/view?usp=drivesdk","CSF")</f>
        <v>CSF</v>
      </c>
      <c r="J9" s="311" t="s">
        <v>1857</v>
      </c>
      <c r="K9" s="298"/>
      <c r="L9" s="191"/>
    </row>
    <row r="10" ht="25.5" customHeight="1">
      <c r="A10" s="14" t="s">
        <v>1850</v>
      </c>
      <c r="B10" s="306" t="s">
        <v>1887</v>
      </c>
      <c r="C10" s="306" t="s">
        <v>1888</v>
      </c>
      <c r="D10" s="306" t="s">
        <v>1889</v>
      </c>
      <c r="E10" s="307" t="s">
        <v>1890</v>
      </c>
      <c r="F10" s="308">
        <v>45986</v>
      </c>
      <c r="G10" s="306" t="s">
        <v>1891</v>
      </c>
      <c r="H10" s="309" t="s">
        <v>1892</v>
      </c>
      <c r="I10" s="310" t="str">
        <f>HYPERLINK("https://drive.google.com/file/d/1E2ThvZa6uYZDQxF4irUhYQUKPhO2rqJo/view?usp=drivesdk","Core 2 - Digital Electronics ")</f>
        <v xml:space="preserve">Core 2 - Digital Electronics </v>
      </c>
      <c r="J10" s="311" t="s">
        <v>1893</v>
      </c>
      <c r="K10" s="298"/>
      <c r="L10" s="191"/>
    </row>
    <row r="11" ht="25.5" customHeight="1">
      <c r="A11" s="14" t="s">
        <v>1850</v>
      </c>
      <c r="B11" s="306" t="s">
        <v>1894</v>
      </c>
      <c r="C11" s="306" t="s">
        <v>1895</v>
      </c>
      <c r="D11" s="306" t="s">
        <v>1896</v>
      </c>
      <c r="E11" s="307" t="s">
        <v>1897</v>
      </c>
      <c r="F11" s="308">
        <v>45986</v>
      </c>
      <c r="G11" s="306" t="s">
        <v>1898</v>
      </c>
      <c r="H11" s="309" t="s">
        <v>1899</v>
      </c>
      <c r="I11" s="310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311" t="s">
        <v>1893</v>
      </c>
      <c r="K11" s="298"/>
      <c r="L11" s="191"/>
    </row>
    <row r="12" ht="25.5" customHeight="1">
      <c r="A12" s="14" t="s">
        <v>1850</v>
      </c>
      <c r="B12" s="306" t="s">
        <v>1900</v>
      </c>
      <c r="C12" s="306" t="s">
        <v>1901</v>
      </c>
      <c r="D12" s="306" t="s">
        <v>1902</v>
      </c>
      <c r="E12" s="307" t="s">
        <v>1903</v>
      </c>
      <c r="F12" s="308">
        <v>45986</v>
      </c>
      <c r="G12" s="306" t="s">
        <v>1904</v>
      </c>
      <c r="H12" s="309" t="s">
        <v>1905</v>
      </c>
      <c r="I12" s="310" t="str">
        <f>HYPERLINK("https://drive.google.com/file/d/1crWestL81Jz9Inhum9EU1dv8npLyZeNs/view?usp=drivesdk","Core 3 - Database Management Systems ")</f>
        <v xml:space="preserve">Core 3 - Database Management Systems </v>
      </c>
      <c r="J12" s="311" t="s">
        <v>1893</v>
      </c>
      <c r="K12" s="298"/>
      <c r="L12" s="191"/>
    </row>
    <row r="13" ht="25.5" customHeight="1">
      <c r="A13" s="14" t="s">
        <v>1850</v>
      </c>
      <c r="B13" s="306" t="s">
        <v>1906</v>
      </c>
      <c r="C13" s="306" t="s">
        <v>1907</v>
      </c>
      <c r="D13" s="306" t="s">
        <v>1908</v>
      </c>
      <c r="E13" s="307" t="s">
        <v>1909</v>
      </c>
      <c r="F13" s="308">
        <v>45986</v>
      </c>
      <c r="G13" s="306" t="s">
        <v>1910</v>
      </c>
      <c r="H13" s="309" t="s">
        <v>1911</v>
      </c>
      <c r="I13" s="310" t="str">
        <f>HYPERLINK("https://drive.google.com/file/d/15J5FSzphvwLqaWpKgc0l7RAuqQwM9RgR/view?usp=drivesdk","Core 4 - System Analysis and Design ")</f>
        <v xml:space="preserve">Core 4 - System Analysis and Design </v>
      </c>
      <c r="J13" s="311" t="s">
        <v>1893</v>
      </c>
      <c r="K13" s="298"/>
      <c r="L13" s="191"/>
    </row>
    <row r="14" ht="25.5" customHeight="1">
      <c r="A14" s="14" t="s">
        <v>1850</v>
      </c>
      <c r="B14" s="306" t="s">
        <v>1912</v>
      </c>
      <c r="C14" s="306" t="s">
        <v>1913</v>
      </c>
      <c r="D14" s="306" t="s">
        <v>1914</v>
      </c>
      <c r="E14" s="307" t="s">
        <v>1915</v>
      </c>
      <c r="F14" s="308">
        <v>45986</v>
      </c>
      <c r="G14" s="306" t="s">
        <v>1916</v>
      </c>
      <c r="H14" s="309" t="s">
        <v>1917</v>
      </c>
      <c r="I14" s="310" t="str">
        <f>HYPERLINK("https://drive.google.com/file/d/1vwhsk2Qnn1f7zOXjThHweIhgNtvu_v1y/view?usp=drivesdk","R-programming ")</f>
        <v xml:space="preserve">R-programming </v>
      </c>
      <c r="J14" s="311" t="s">
        <v>1893</v>
      </c>
      <c r="K14" s="298"/>
      <c r="L14" s="191"/>
    </row>
    <row r="15" ht="25.5" customHeight="1">
      <c r="A15" s="14" t="s">
        <v>1850</v>
      </c>
      <c r="B15" s="306" t="s">
        <v>1918</v>
      </c>
      <c r="C15" s="306" t="s">
        <v>1919</v>
      </c>
      <c r="D15" s="306" t="s">
        <v>1920</v>
      </c>
      <c r="E15" s="307" t="s">
        <v>1921</v>
      </c>
      <c r="F15" s="308">
        <v>45986</v>
      </c>
      <c r="G15" s="306" t="s">
        <v>1922</v>
      </c>
      <c r="H15" s="309" t="s">
        <v>1923</v>
      </c>
      <c r="I15" s="310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311" t="s">
        <v>1893</v>
      </c>
      <c r="K15" s="298"/>
      <c r="L15" s="191"/>
    </row>
    <row r="16" ht="25.5" customHeight="1">
      <c r="A16" s="14" t="s">
        <v>1850</v>
      </c>
      <c r="B16" s="306" t="s">
        <v>1924</v>
      </c>
      <c r="C16" s="306" t="s">
        <v>1925</v>
      </c>
      <c r="D16" s="306" t="s">
        <v>1926</v>
      </c>
      <c r="E16" s="307" t="s">
        <v>1927</v>
      </c>
      <c r="F16" s="308">
        <v>45986</v>
      </c>
      <c r="G16" s="306" t="s">
        <v>1928</v>
      </c>
      <c r="H16" s="309" t="s">
        <v>1929</v>
      </c>
      <c r="I16" s="310" t="str">
        <f>HYPERLINK("https://drive.google.com/file/d/1yV_baoi4hN96V3uJtI74rnF1JxZkb4Hl/view?usp=drivesdk","Core 6 - Data Structure ")</f>
        <v xml:space="preserve">Core 6 - Data Structure </v>
      </c>
      <c r="J16" s="311" t="s">
        <v>1930</v>
      </c>
      <c r="K16" s="298"/>
      <c r="L16" s="191"/>
    </row>
    <row r="17" ht="25.5" customHeight="1">
      <c r="A17" s="14" t="s">
        <v>1850</v>
      </c>
      <c r="B17" s="306" t="s">
        <v>1931</v>
      </c>
      <c r="C17" s="306" t="s">
        <v>1932</v>
      </c>
      <c r="D17" s="306" t="s">
        <v>1933</v>
      </c>
      <c r="E17" s="307" t="s">
        <v>1934</v>
      </c>
      <c r="F17" s="308">
        <v>45986</v>
      </c>
      <c r="G17" s="306" t="s">
        <v>1935</v>
      </c>
      <c r="H17" s="309" t="s">
        <v>1936</v>
      </c>
      <c r="I17" s="310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311" t="s">
        <v>1930</v>
      </c>
      <c r="K17" s="298"/>
      <c r="L17" s="191"/>
    </row>
    <row r="18" ht="25.5" customHeight="1">
      <c r="A18" s="14" t="s">
        <v>1850</v>
      </c>
      <c r="B18" s="306" t="s">
        <v>1937</v>
      </c>
      <c r="C18" s="306" t="s">
        <v>1938</v>
      </c>
      <c r="D18" s="306" t="s">
        <v>1878</v>
      </c>
      <c r="E18" s="307" t="s">
        <v>1939</v>
      </c>
      <c r="F18" s="308">
        <v>45986</v>
      </c>
      <c r="G18" s="306" t="s">
        <v>1940</v>
      </c>
      <c r="H18" s="309" t="s">
        <v>1941</v>
      </c>
      <c r="I18" s="310" t="str">
        <f>HYPERLINK("https://drive.google.com/file/d/1alQ0qCBNaTjN7MjdPwFwV_xn0rS9iZiZ/view?usp=drivesdk","AI &amp; ML")</f>
        <v xml:space="preserve">AI &amp; ML</v>
      </c>
      <c r="J18" s="311" t="s">
        <v>1930</v>
      </c>
      <c r="K18" s="298"/>
      <c r="L18" s="191"/>
    </row>
    <row r="19" ht="25.5" customHeight="1">
      <c r="A19" s="14" t="s">
        <v>1850</v>
      </c>
      <c r="B19" s="306" t="s">
        <v>1882</v>
      </c>
      <c r="C19" s="306" t="s">
        <v>1942</v>
      </c>
      <c r="D19" s="306" t="s">
        <v>1860</v>
      </c>
      <c r="E19" s="307" t="s">
        <v>1943</v>
      </c>
      <c r="F19" s="308">
        <v>45986</v>
      </c>
      <c r="G19" s="306" t="s">
        <v>1944</v>
      </c>
      <c r="H19" s="309" t="s">
        <v>1945</v>
      </c>
      <c r="I19" s="310" t="str">
        <f>HYPERLINK("https://drive.google.com/file/d/1ukt74oSwZDMrgvg9stwm5Snlpmro3Gng/view?usp=drivesdk","CSF")</f>
        <v>CSF</v>
      </c>
      <c r="J19" s="311" t="s">
        <v>1930</v>
      </c>
      <c r="K19" s="298"/>
      <c r="L19" s="191"/>
    </row>
    <row r="20" ht="25.5" customHeight="1">
      <c r="A20" s="14" t="s">
        <v>1850</v>
      </c>
      <c r="B20" s="306" t="s">
        <v>1888</v>
      </c>
      <c r="C20" s="306" t="s">
        <v>1946</v>
      </c>
      <c r="D20" s="306" t="s">
        <v>1947</v>
      </c>
      <c r="E20" s="307" t="s">
        <v>1948</v>
      </c>
      <c r="F20" s="308">
        <v>45986</v>
      </c>
      <c r="G20" s="306" t="s">
        <v>1949</v>
      </c>
      <c r="H20" s="309" t="s">
        <v>1950</v>
      </c>
      <c r="I20" s="310" t="str">
        <f>HYPERLINK("https://drive.google.com/file/d/1csEENhS50ik59LdBU4y3oaZBTC6X9YGL/view?usp=drivesdk","Core-8- Data Communication and Networking ")</f>
        <v xml:space="preserve">Core-8- Data Communication and Networking </v>
      </c>
      <c r="J20" s="311" t="s">
        <v>1930</v>
      </c>
      <c r="K20" s="298"/>
      <c r="L20" s="191"/>
    </row>
    <row r="21" ht="25.5" customHeight="1">
      <c r="A21" s="14" t="s">
        <v>1850</v>
      </c>
      <c r="B21" s="306" t="s">
        <v>1951</v>
      </c>
      <c r="C21" s="306" t="s">
        <v>1952</v>
      </c>
      <c r="D21" s="306" t="s">
        <v>1953</v>
      </c>
      <c r="E21" s="307" t="s">
        <v>1954</v>
      </c>
      <c r="F21" s="308">
        <v>45986</v>
      </c>
      <c r="G21" s="306" t="s">
        <v>1955</v>
      </c>
      <c r="H21" s="309" t="s">
        <v>1956</v>
      </c>
      <c r="I21" s="310" t="str">
        <f>HYPERLINK("https://drive.google.com/file/d/154EXhdDSi-0OdipgxHqv75khnYt3qz78/view?usp=drivesdk","Core 9 - Open Source Technology using PHP")</f>
        <v xml:space="preserve">Core 9 - Open Source Technology using PHP</v>
      </c>
      <c r="J21" s="311" t="s">
        <v>1930</v>
      </c>
      <c r="K21" s="298"/>
      <c r="L21" s="191"/>
    </row>
    <row r="22" ht="25.5" customHeight="1">
      <c r="A22" s="14" t="s">
        <v>1850</v>
      </c>
      <c r="B22" s="306" t="s">
        <v>1957</v>
      </c>
      <c r="C22" s="306" t="s">
        <v>1958</v>
      </c>
      <c r="D22" s="306" t="s">
        <v>1959</v>
      </c>
      <c r="E22" s="307" t="s">
        <v>1960</v>
      </c>
      <c r="F22" s="308">
        <v>45986</v>
      </c>
      <c r="G22" s="306" t="s">
        <v>1961</v>
      </c>
      <c r="H22" s="309" t="s">
        <v>1962</v>
      </c>
      <c r="I22" s="310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311" t="s">
        <v>1963</v>
      </c>
      <c r="K22" s="298"/>
      <c r="L22" s="191"/>
    </row>
    <row r="23" ht="25.5" customHeight="1">
      <c r="A23" s="14" t="s">
        <v>1850</v>
      </c>
      <c r="B23" s="306" t="s">
        <v>1964</v>
      </c>
      <c r="C23" s="306" t="s">
        <v>1965</v>
      </c>
      <c r="D23" s="306" t="s">
        <v>1966</v>
      </c>
      <c r="E23" s="307" t="s">
        <v>1967</v>
      </c>
      <c r="F23" s="308">
        <v>45986</v>
      </c>
      <c r="G23" s="306" t="s">
        <v>1968</v>
      </c>
      <c r="H23" s="309" t="s">
        <v>1969</v>
      </c>
      <c r="I23" s="310" t="str">
        <f>HYPERLINK("https://drive.google.com/file/d/1omaTDMCsz4HYKnFu95lcy2mEGznvzkAT/view?usp=drivesdk","Specialization - Big Data Analytics - I")</f>
        <v xml:space="preserve">Specialization - Big Data Analytics - I</v>
      </c>
      <c r="J23" s="311" t="s">
        <v>1963</v>
      </c>
      <c r="K23" s="298"/>
      <c r="L23" s="191"/>
    </row>
    <row r="24" ht="25.5" customHeight="1">
      <c r="A24" s="14" t="s">
        <v>1850</v>
      </c>
      <c r="B24" s="306" t="s">
        <v>1970</v>
      </c>
      <c r="C24" s="306" t="s">
        <v>1971</v>
      </c>
      <c r="D24" s="306" t="s">
        <v>1972</v>
      </c>
      <c r="E24" s="307" t="s">
        <v>1973</v>
      </c>
      <c r="F24" s="308">
        <v>45986</v>
      </c>
      <c r="G24" s="306" t="s">
        <v>1974</v>
      </c>
      <c r="H24" s="309" t="s">
        <v>1975</v>
      </c>
      <c r="I24" s="310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311" t="s">
        <v>1963</v>
      </c>
      <c r="K24" s="298"/>
      <c r="L24" s="191"/>
    </row>
    <row r="25" ht="25.5" customHeight="1">
      <c r="A25" s="14" t="s">
        <v>1850</v>
      </c>
      <c r="B25" s="306" t="s">
        <v>1976</v>
      </c>
      <c r="C25" s="306" t="s">
        <v>1977</v>
      </c>
      <c r="D25" s="306" t="s">
        <v>1978</v>
      </c>
      <c r="E25" s="307" t="s">
        <v>1979</v>
      </c>
      <c r="F25" s="308">
        <v>45986</v>
      </c>
      <c r="G25" s="306" t="s">
        <v>1980</v>
      </c>
      <c r="H25" s="309" t="s">
        <v>1981</v>
      </c>
      <c r="I25" s="310" t="str">
        <f>HYPERLINK("https://drive.google.com/file/d/1Tew5Y7qJlkFmyktM4PiBsLG9sxmd4GS3/view?usp=drivesdk","Specialization - Cloud Computing - I")</f>
        <v xml:space="preserve">Specialization - Cloud Computing - I</v>
      </c>
      <c r="J25" s="311" t="s">
        <v>1963</v>
      </c>
      <c r="K25" s="298"/>
      <c r="L25" s="191"/>
    </row>
    <row r="26" ht="25.5" customHeight="1">
      <c r="A26" s="55" t="s">
        <v>153</v>
      </c>
      <c r="B26" s="312" t="s">
        <v>1982</v>
      </c>
      <c r="C26" s="312" t="s">
        <v>1983</v>
      </c>
      <c r="D26" s="312" t="s">
        <v>1984</v>
      </c>
      <c r="E26" s="313" t="s">
        <v>1985</v>
      </c>
      <c r="F26" s="314">
        <v>46084</v>
      </c>
      <c r="G26" s="312" t="s">
        <v>1986</v>
      </c>
      <c r="H26" s="315" t="s">
        <v>1987</v>
      </c>
      <c r="I26" s="316" t="str">
        <f>HYPERLINK("https://drive.google.com/file/d/1KdGjofO9aadmDvl272Oyj8sjizEZAZkv/view?usp=drivesdk","Power Electronics - II")</f>
        <v xml:space="preserve">Power Electronics - II</v>
      </c>
      <c r="J26" s="317" t="s">
        <v>1988</v>
      </c>
      <c r="K26" s="298"/>
      <c r="L26" s="191"/>
    </row>
    <row r="27" ht="25.5" customHeight="1">
      <c r="A27" s="55" t="s">
        <v>153</v>
      </c>
      <c r="B27" s="312" t="s">
        <v>1989</v>
      </c>
      <c r="C27" s="312" t="s">
        <v>1990</v>
      </c>
      <c r="D27" s="312" t="s">
        <v>1991</v>
      </c>
      <c r="E27" s="313" t="s">
        <v>1992</v>
      </c>
      <c r="F27" s="314">
        <v>46101</v>
      </c>
      <c r="G27" s="312" t="s">
        <v>1993</v>
      </c>
      <c r="H27" s="315" t="s">
        <v>1994</v>
      </c>
      <c r="I27" s="316" t="str">
        <f>HYPERLINK("https://drive.google.com/file/d/1cpvjucmyUL_4pxfFXnJL0Nr-aBzbh-AW/view?usp=drivesdk","Analysis of Mechanism and Machine Elements")</f>
        <v xml:space="preserve">Analysis of Mechanism and Machine Elements</v>
      </c>
      <c r="J27" s="317" t="s">
        <v>1988</v>
      </c>
      <c r="K27" s="298"/>
      <c r="L27" s="191"/>
    </row>
    <row r="28" ht="25.5" customHeight="1">
      <c r="A28" s="55" t="s">
        <v>153</v>
      </c>
      <c r="B28" s="312" t="s">
        <v>1995</v>
      </c>
      <c r="C28" s="312" t="s">
        <v>1996</v>
      </c>
      <c r="D28" s="312" t="s">
        <v>1997</v>
      </c>
      <c r="E28" s="313" t="s">
        <v>1998</v>
      </c>
      <c r="F28" s="314">
        <v>46101</v>
      </c>
      <c r="G28" s="312" t="s">
        <v>1999</v>
      </c>
      <c r="H28" s="315" t="s">
        <v>2000</v>
      </c>
      <c r="I28" s="316" t="str">
        <f>HYPERLINK("https://drive.google.com/file/d/1gUZPmpgbH62_4i96n1a3X3JLOK9inzW0/view?usp=drivesdk","Aerodynamics I")</f>
        <v xml:space="preserve">Aerodynamics I</v>
      </c>
      <c r="J28" s="317" t="s">
        <v>1988</v>
      </c>
      <c r="K28" s="298"/>
      <c r="L28" s="191"/>
    </row>
    <row r="29" ht="25.5" customHeight="1">
      <c r="A29" s="55" t="s">
        <v>153</v>
      </c>
      <c r="B29" s="312" t="s">
        <v>2001</v>
      </c>
      <c r="C29" s="312" t="s">
        <v>2002</v>
      </c>
      <c r="D29" s="312" t="s">
        <v>2003</v>
      </c>
      <c r="E29" s="313" t="s">
        <v>2004</v>
      </c>
      <c r="F29" s="314">
        <v>46101</v>
      </c>
      <c r="G29" s="312" t="s">
        <v>2005</v>
      </c>
      <c r="H29" s="315" t="s">
        <v>2006</v>
      </c>
      <c r="I29" s="316" t="str">
        <f>HYPERLINK("https://drive.google.com/file/d/1T3WrvWXhqfrkMascRUdJoF5zNZSh020X/view?usp=drivesdk","Propulsion I")</f>
        <v xml:space="preserve">Propulsion I</v>
      </c>
      <c r="J29" s="317" t="s">
        <v>1988</v>
      </c>
      <c r="K29" s="298"/>
      <c r="L29" s="191"/>
    </row>
    <row r="30" ht="25.5" customHeight="1">
      <c r="A30" s="55" t="s">
        <v>153</v>
      </c>
      <c r="B30" s="312" t="s">
        <v>2007</v>
      </c>
      <c r="C30" s="312" t="s">
        <v>2008</v>
      </c>
      <c r="D30" s="312" t="s">
        <v>2009</v>
      </c>
      <c r="E30" s="313" t="s">
        <v>2010</v>
      </c>
      <c r="F30" s="314">
        <v>46101</v>
      </c>
      <c r="G30" s="312" t="s">
        <v>2011</v>
      </c>
      <c r="H30" s="315" t="s">
        <v>2012</v>
      </c>
      <c r="I30" s="316" t="str">
        <f>HYPERLINK("https://drive.google.com/file/d/1repwrDO5b_ovi_UI4oriw2HAvoBKXiUz/view?usp=drivesdk","Introduction to Aerospace  Engineering")</f>
        <v xml:space="preserve">Introduction to Aerospace  Engineering</v>
      </c>
      <c r="J30" s="317" t="s">
        <v>2013</v>
      </c>
      <c r="K30" s="298"/>
      <c r="L30" s="191"/>
    </row>
    <row r="31" ht="25.5" customHeight="1">
      <c r="A31" s="55" t="s">
        <v>153</v>
      </c>
      <c r="B31" s="312" t="s">
        <v>2014</v>
      </c>
      <c r="C31" s="312" t="s">
        <v>2015</v>
      </c>
      <c r="D31" s="312" t="s">
        <v>2016</v>
      </c>
      <c r="E31" s="313" t="s">
        <v>2017</v>
      </c>
      <c r="F31" s="314">
        <v>46101</v>
      </c>
      <c r="G31" s="312" t="s">
        <v>2018</v>
      </c>
      <c r="H31" s="315" t="s">
        <v>2019</v>
      </c>
      <c r="I31" s="316" t="str">
        <f>HYPERLINK("https://drive.google.com/file/d/1e4tM0JF2EKumNiQJxILyv1_MyiNKAoeV/view?usp=drivesdk","Aircraft Struture I")</f>
        <v xml:space="preserve">Aircraft Struture I</v>
      </c>
      <c r="J31" s="317" t="s">
        <v>2013</v>
      </c>
      <c r="K31" s="298"/>
      <c r="L31" s="191"/>
    </row>
    <row r="32" ht="25.5" customHeight="1">
      <c r="A32" s="55" t="s">
        <v>153</v>
      </c>
      <c r="B32" s="312" t="s">
        <v>2020</v>
      </c>
      <c r="C32" s="312" t="s">
        <v>2021</v>
      </c>
      <c r="D32" s="312" t="s">
        <v>2022</v>
      </c>
      <c r="E32" s="313" t="s">
        <v>2023</v>
      </c>
      <c r="F32" s="314">
        <v>46101</v>
      </c>
      <c r="G32" s="312" t="s">
        <v>2024</v>
      </c>
      <c r="H32" s="315" t="s">
        <v>2025</v>
      </c>
      <c r="I32" s="316" t="str">
        <f>HYPERLINK("https://drive.google.com/file/d/1oPLXRg_cVxE5BFogdvlrEHXnTYM_q0rP/view?usp=drivesdk","Web Design")</f>
        <v xml:space="preserve">Web Design</v>
      </c>
      <c r="J32" s="317" t="s">
        <v>2013</v>
      </c>
      <c r="K32" s="298"/>
      <c r="L32" s="191"/>
    </row>
    <row r="33" ht="25.5" customHeight="1">
      <c r="A33" s="55" t="s">
        <v>153</v>
      </c>
      <c r="B33" s="312" t="s">
        <v>2026</v>
      </c>
      <c r="C33" s="312" t="s">
        <v>2027</v>
      </c>
      <c r="D33" s="312" t="s">
        <v>2028</v>
      </c>
      <c r="E33" s="313" t="s">
        <v>2029</v>
      </c>
      <c r="F33" s="314">
        <v>46084</v>
      </c>
      <c r="G33" s="312" t="s">
        <v>2030</v>
      </c>
      <c r="H33" s="315" t="s">
        <v>2031</v>
      </c>
      <c r="I33" s="316" t="str">
        <f>HYPERLINK("https://drive.google.com/file/d/1h1jBsFglaT8Q2y3NSfnc7088-xxdg__G/view?usp=drivesdk","DBMS")</f>
        <v>DBMS</v>
      </c>
      <c r="J33" s="317" t="s">
        <v>2013</v>
      </c>
      <c r="K33" s="298"/>
      <c r="L33" s="191"/>
    </row>
    <row r="34" ht="25.5" customHeight="1">
      <c r="A34" s="55" t="s">
        <v>153</v>
      </c>
      <c r="B34" s="312" t="s">
        <v>2032</v>
      </c>
      <c r="C34" s="312" t="s">
        <v>2033</v>
      </c>
      <c r="D34" s="312" t="s">
        <v>2034</v>
      </c>
      <c r="E34" s="313" t="s">
        <v>2035</v>
      </c>
      <c r="F34" s="314">
        <v>46116</v>
      </c>
      <c r="G34" s="312" t="s">
        <v>2036</v>
      </c>
      <c r="H34" s="315" t="s">
        <v>2037</v>
      </c>
      <c r="I34" s="316" t="str">
        <f>HYPERLINK("https://drive.google.com/file/d/1nSiLwV51NWcVAEqq0lHd3x5kZHBjHI-7/view?usp=drivesdk","AWS Cloud Computing")</f>
        <v xml:space="preserve">AWS Cloud Computing</v>
      </c>
      <c r="J34" s="317" t="s">
        <v>2013</v>
      </c>
      <c r="K34" s="298"/>
      <c r="L34" s="191"/>
    </row>
    <row r="35" ht="25.5" customHeight="1">
      <c r="A35" s="14" t="s">
        <v>231</v>
      </c>
      <c r="B35" s="318" t="s">
        <v>2038</v>
      </c>
      <c r="C35" s="318" t="s">
        <v>2039</v>
      </c>
      <c r="D35" s="318" t="s">
        <v>2040</v>
      </c>
      <c r="E35" s="319" t="s">
        <v>2041</v>
      </c>
      <c r="F35" s="320">
        <v>46045</v>
      </c>
      <c r="G35" s="318" t="s">
        <v>2042</v>
      </c>
      <c r="H35" s="321" t="s">
        <v>2043</v>
      </c>
      <c r="I35" s="322" t="str">
        <f>HYPERLINK("https://drive.google.com/file/d/18PVyF4RXslj0awwoSpY87xn6e4Fb3k0x/view?usp=drivesdk","Introduction to Aeronautical Engineering")</f>
        <v xml:space="preserve">Introduction to Aeronautical Engineering</v>
      </c>
      <c r="J35" s="323" t="s">
        <v>2044</v>
      </c>
      <c r="K35" s="298"/>
      <c r="L35" s="191"/>
    </row>
    <row r="36" ht="25.5" customHeight="1">
      <c r="A36" s="14" t="s">
        <v>231</v>
      </c>
      <c r="B36" s="318" t="s">
        <v>2045</v>
      </c>
      <c r="C36" s="318" t="s">
        <v>2046</v>
      </c>
      <c r="D36" s="318" t="s">
        <v>2047</v>
      </c>
      <c r="E36" s="319" t="s">
        <v>2048</v>
      </c>
      <c r="F36" s="320">
        <v>46045</v>
      </c>
      <c r="G36" s="318" t="s">
        <v>2049</v>
      </c>
      <c r="H36" s="321" t="s">
        <v>2050</v>
      </c>
      <c r="I36" s="322" t="str">
        <f>HYPERLINK("https://drive.google.com/file/d/17B3-dOgO96i1vaw0Y7IBvYFqC1gi2UnP/view?usp=drivesdk","Energy Conservation")</f>
        <v xml:space="preserve">Energy Conservation</v>
      </c>
      <c r="J36" s="323" t="s">
        <v>2051</v>
      </c>
      <c r="K36" s="298"/>
      <c r="L36" s="191"/>
    </row>
    <row r="37" ht="25.5" customHeight="1">
      <c r="A37" s="14" t="s">
        <v>231</v>
      </c>
      <c r="B37" s="318" t="s">
        <v>2052</v>
      </c>
      <c r="C37" s="318" t="s">
        <v>2053</v>
      </c>
      <c r="D37" s="318" t="s">
        <v>2054</v>
      </c>
      <c r="E37" s="319" t="s">
        <v>2055</v>
      </c>
      <c r="F37" s="320">
        <v>46045</v>
      </c>
      <c r="G37" s="318" t="s">
        <v>2056</v>
      </c>
      <c r="H37" s="321" t="s">
        <v>2057</v>
      </c>
      <c r="I37" s="322" t="str">
        <f>HYPERLINK("https://drive.google.com/file/d/1p-oC36Is8HrI_KuDprZZ7hJ0VFAO2-nd/view?usp=drivesdk","Elements of Mechanical Engineering ")</f>
        <v xml:space="preserve">Elements of Mechanical Engineering </v>
      </c>
      <c r="J37" s="323" t="s">
        <v>2051</v>
      </c>
      <c r="K37" s="298"/>
      <c r="L37" s="191"/>
    </row>
    <row r="38" ht="25.5" customHeight="1">
      <c r="A38" s="14" t="s">
        <v>231</v>
      </c>
      <c r="B38" s="318" t="s">
        <v>2058</v>
      </c>
      <c r="C38" s="318" t="s">
        <v>2059</v>
      </c>
      <c r="D38" s="318" t="s">
        <v>2060</v>
      </c>
      <c r="E38" s="319" t="s">
        <v>2061</v>
      </c>
      <c r="F38" s="320">
        <v>46045</v>
      </c>
      <c r="G38" s="318" t="s">
        <v>2062</v>
      </c>
      <c r="H38" s="321" t="s">
        <v>2063</v>
      </c>
      <c r="I38" s="322" t="str">
        <f>HYPERLINK("https://drive.google.com/file/d/1pIVWFJ56F5KKFEBDHKtBuKN40dtOLTsL/view?usp=drivesdk","Environmental Science")</f>
        <v xml:space="preserve">Environmental Science</v>
      </c>
      <c r="J38" s="323" t="s">
        <v>2051</v>
      </c>
      <c r="K38" s="298"/>
      <c r="L38" s="191"/>
    </row>
    <row r="39" ht="25.5" customHeight="1">
      <c r="A39" s="14" t="s">
        <v>231</v>
      </c>
      <c r="B39" s="318" t="s">
        <v>2059</v>
      </c>
      <c r="C39" s="318" t="s">
        <v>2064</v>
      </c>
      <c r="D39" s="318" t="s">
        <v>2065</v>
      </c>
      <c r="E39" s="319" t="s">
        <v>2066</v>
      </c>
      <c r="F39" s="320">
        <v>46045</v>
      </c>
      <c r="G39" s="318" t="s">
        <v>2067</v>
      </c>
      <c r="H39" s="321" t="s">
        <v>2068</v>
      </c>
      <c r="I39" s="322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323" t="s">
        <v>2051</v>
      </c>
      <c r="K39" s="298"/>
      <c r="L39" s="191"/>
    </row>
    <row r="40" ht="25.5" customHeight="1">
      <c r="A40" s="14" t="s">
        <v>231</v>
      </c>
      <c r="B40" s="318" t="s">
        <v>2069</v>
      </c>
      <c r="C40" s="318" t="s">
        <v>2070</v>
      </c>
      <c r="D40" s="318" t="s">
        <v>1009</v>
      </c>
      <c r="E40" s="319" t="s">
        <v>2071</v>
      </c>
      <c r="F40" s="320">
        <v>46045</v>
      </c>
      <c r="G40" s="318" t="s">
        <v>2072</v>
      </c>
      <c r="H40" s="321" t="s">
        <v>2073</v>
      </c>
      <c r="I40" s="322" t="str">
        <f>HYPERLINK("https://drive.google.com/file/d/1IdiaWeEj-bdDtlVRAOuYsEtYb2_TfSMt/view?usp=drivesdk","Disaster Management")</f>
        <v xml:space="preserve">Disaster Management</v>
      </c>
      <c r="J40" s="323" t="s">
        <v>2051</v>
      </c>
      <c r="K40" s="298"/>
      <c r="L40" s="191"/>
    </row>
    <row r="41" ht="25.5" customHeight="1">
      <c r="A41" s="324" t="s">
        <v>421</v>
      </c>
      <c r="B41" s="325" t="s">
        <v>428</v>
      </c>
      <c r="C41" s="325" t="s">
        <v>2074</v>
      </c>
      <c r="D41" s="326" t="s">
        <v>2075</v>
      </c>
      <c r="E41" s="327" t="s">
        <v>2076</v>
      </c>
      <c r="F41" s="328">
        <v>46052</v>
      </c>
      <c r="G41" s="325" t="s">
        <v>2077</v>
      </c>
      <c r="H41" s="329" t="s">
        <v>2078</v>
      </c>
      <c r="I41" s="330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331" t="s">
        <v>2079</v>
      </c>
      <c r="K41" s="298"/>
      <c r="L41" s="191"/>
    </row>
    <row r="42" ht="25.5" customHeight="1">
      <c r="A42" s="22" t="s">
        <v>449</v>
      </c>
      <c r="B42" s="332" t="s">
        <v>2080</v>
      </c>
      <c r="C42" s="332" t="s">
        <v>2081</v>
      </c>
      <c r="D42" s="333" t="s">
        <v>2082</v>
      </c>
      <c r="E42" s="334" t="s">
        <v>2083</v>
      </c>
      <c r="F42" s="335">
        <v>46086</v>
      </c>
      <c r="G42" s="325" t="s">
        <v>2084</v>
      </c>
      <c r="H42" s="329" t="s">
        <v>2085</v>
      </c>
      <c r="I42" s="330" t="str">
        <f>HYPERLINK("https://drive.google.com/file/d/1S8UBFr9BX7loqvnpxXUW6g6786VdnvLy/view?usp=drivesdk","Food Storage Engineering ")</f>
        <v xml:space="preserve">Food Storage Engineering </v>
      </c>
      <c r="J42" s="331" t="s">
        <v>2086</v>
      </c>
      <c r="K42" s="298"/>
      <c r="L42" s="191"/>
    </row>
    <row r="43" ht="25.5" customHeight="1">
      <c r="A43" s="22" t="s">
        <v>449</v>
      </c>
      <c r="B43" s="332" t="s">
        <v>2087</v>
      </c>
      <c r="C43" s="332" t="s">
        <v>2088</v>
      </c>
      <c r="D43" s="336" t="s">
        <v>2089</v>
      </c>
      <c r="E43" s="337" t="s">
        <v>2090</v>
      </c>
      <c r="F43" s="338">
        <v>46380</v>
      </c>
      <c r="G43" s="325" t="s">
        <v>2091</v>
      </c>
      <c r="H43" s="329" t="s">
        <v>2092</v>
      </c>
      <c r="I43" s="330" t="str">
        <f>HYPERLINK("https://drive.google.com/file/d/12C9zNqh0naJOfnpfSBifLL1zRQtCSeYC/view?usp=drivesdk","Soil and Water Conservation Engineering")</f>
        <v xml:space="preserve">Soil and Water Conservation Engineering</v>
      </c>
      <c r="J43" s="331" t="s">
        <v>2093</v>
      </c>
      <c r="K43" s="298"/>
      <c r="L43" s="191"/>
    </row>
    <row r="44" ht="25.5" customHeight="1">
      <c r="A44" s="65" t="s">
        <v>2094</v>
      </c>
      <c r="B44" s="339" t="s">
        <v>2095</v>
      </c>
      <c r="C44" s="339" t="s">
        <v>2096</v>
      </c>
      <c r="D44" s="340" t="s">
        <v>2097</v>
      </c>
      <c r="E44" s="341" t="s">
        <v>2098</v>
      </c>
      <c r="F44" s="342">
        <v>45995</v>
      </c>
      <c r="G44" s="339" t="s">
        <v>2099</v>
      </c>
      <c r="H44" s="343" t="s">
        <v>2100</v>
      </c>
      <c r="I44" s="344" t="str">
        <f>HYPERLINK("https://drive.google.com/file/d/1k8yYPgxrllb771PddDjNCsNidi3kGixy/view?usp=drivesdk","Problem Solving using C")</f>
        <v xml:space="preserve">Problem Solving using C</v>
      </c>
      <c r="J44" s="345" t="s">
        <v>2101</v>
      </c>
      <c r="K44" s="298"/>
      <c r="L44" s="191"/>
    </row>
    <row r="45" ht="25.5" customHeight="1">
      <c r="A45" s="65" t="s">
        <v>2094</v>
      </c>
      <c r="B45" s="346" t="s">
        <v>2102</v>
      </c>
      <c r="C45" s="346" t="s">
        <v>2103</v>
      </c>
      <c r="D45" s="340" t="s">
        <v>2104</v>
      </c>
      <c r="E45" s="341" t="s">
        <v>2105</v>
      </c>
      <c r="F45" s="342">
        <v>45995</v>
      </c>
      <c r="G45" s="339" t="s">
        <v>2106</v>
      </c>
      <c r="H45" s="343" t="s">
        <v>2107</v>
      </c>
      <c r="I45" s="344" t="str">
        <f>HYPERLINK("https://drive.google.com/file/d/18BOiWkafnBaKJeEIWpTbdhEbMWyXRxi8/view?usp=drivesdk","Introduction to DBMS")</f>
        <v xml:space="preserve">Introduction to DBMS</v>
      </c>
      <c r="J45" s="345" t="s">
        <v>2101</v>
      </c>
      <c r="K45" s="298"/>
      <c r="L45" s="191"/>
    </row>
    <row r="46" ht="25.5" customHeight="1">
      <c r="A46" s="65" t="s">
        <v>2094</v>
      </c>
      <c r="B46" s="347" t="s">
        <v>2108</v>
      </c>
      <c r="C46" s="347" t="s">
        <v>2109</v>
      </c>
      <c r="D46" s="340" t="s">
        <v>2110</v>
      </c>
      <c r="E46" s="341" t="s">
        <v>2111</v>
      </c>
      <c r="F46" s="342">
        <v>45995</v>
      </c>
      <c r="G46" s="339" t="s">
        <v>2112</v>
      </c>
      <c r="H46" s="343" t="s">
        <v>2113</v>
      </c>
      <c r="I46" s="344" t="str">
        <f>HYPERLINK("https://drive.google.com/file/d/1hHJ_51JSThMxinLxEKJw4xann8fPsw6E/view?usp=drivesdk","Data Mining ")</f>
        <v xml:space="preserve">Data Mining </v>
      </c>
      <c r="J46" s="345" t="s">
        <v>2114</v>
      </c>
      <c r="K46" s="298"/>
      <c r="L46" s="191"/>
    </row>
    <row r="47" ht="25.5" customHeight="1">
      <c r="A47" s="65" t="s">
        <v>2094</v>
      </c>
      <c r="B47" s="347" t="s">
        <v>2115</v>
      </c>
      <c r="C47" s="347" t="s">
        <v>2116</v>
      </c>
      <c r="D47" s="340" t="s">
        <v>2117</v>
      </c>
      <c r="E47" s="341" t="s">
        <v>2118</v>
      </c>
      <c r="F47" s="342">
        <v>45995</v>
      </c>
      <c r="G47" s="339" t="s">
        <v>2119</v>
      </c>
      <c r="H47" s="343" t="s">
        <v>2120</v>
      </c>
      <c r="I47" s="344" t="str">
        <f>HYPERLINK("https://drive.google.com/file/d/1dygpOOrO4lpCXRR0K8sqcVj-ZdpeWC5j/view?usp=drivesdk","Cloud Computing ")</f>
        <v xml:space="preserve">Cloud Computing </v>
      </c>
      <c r="J47" s="345" t="s">
        <v>2114</v>
      </c>
      <c r="K47" s="298"/>
      <c r="L47" s="191"/>
    </row>
    <row r="48" ht="25.5" customHeight="1">
      <c r="A48" s="65" t="s">
        <v>2094</v>
      </c>
      <c r="B48" s="347" t="s">
        <v>2121</v>
      </c>
      <c r="C48" s="347" t="s">
        <v>2122</v>
      </c>
      <c r="D48" s="340" t="s">
        <v>2123</v>
      </c>
      <c r="E48" s="341" t="s">
        <v>2124</v>
      </c>
      <c r="F48" s="342">
        <v>45995</v>
      </c>
      <c r="G48" s="339" t="s">
        <v>2125</v>
      </c>
      <c r="H48" s="343" t="s">
        <v>2126</v>
      </c>
      <c r="I48" s="344" t="str">
        <f>HYPERLINK("https://drive.google.com/file/d/1huNTbUFKwWJxLH1p8-Qt7TApdiuJfy5i/view?usp=drivesdk","Mobile Application Development ")</f>
        <v xml:space="preserve">Mobile Application Development </v>
      </c>
      <c r="J48" s="345" t="s">
        <v>2114</v>
      </c>
      <c r="K48" s="298"/>
      <c r="L48" s="191"/>
    </row>
    <row r="49" ht="25.5" customHeight="1">
      <c r="A49" s="65" t="s">
        <v>2094</v>
      </c>
      <c r="B49" s="347" t="s">
        <v>2127</v>
      </c>
      <c r="C49" s="347" t="s">
        <v>2128</v>
      </c>
      <c r="D49" s="340" t="s">
        <v>2129</v>
      </c>
      <c r="E49" s="341" t="s">
        <v>2130</v>
      </c>
      <c r="F49" s="342">
        <v>45995</v>
      </c>
      <c r="G49" s="339" t="s">
        <v>2131</v>
      </c>
      <c r="H49" s="343" t="s">
        <v>2132</v>
      </c>
      <c r="I49" s="344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45" t="s">
        <v>2114</v>
      </c>
      <c r="K49" s="298"/>
      <c r="L49" s="191"/>
    </row>
    <row r="50" ht="25.5" customHeight="1">
      <c r="A50" s="65" t="s">
        <v>2094</v>
      </c>
      <c r="B50" s="347" t="s">
        <v>2133</v>
      </c>
      <c r="C50" s="347" t="s">
        <v>2134</v>
      </c>
      <c r="D50" s="340" t="s">
        <v>2135</v>
      </c>
      <c r="E50" s="341" t="s">
        <v>2136</v>
      </c>
      <c r="F50" s="342">
        <v>45995</v>
      </c>
      <c r="G50" s="339" t="s">
        <v>2137</v>
      </c>
      <c r="H50" s="343" t="s">
        <v>2138</v>
      </c>
      <c r="I50" s="344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45" t="s">
        <v>2114</v>
      </c>
      <c r="K50" s="298"/>
      <c r="L50" s="191"/>
    </row>
    <row r="51" ht="25.5" customHeight="1">
      <c r="A51" s="65" t="s">
        <v>2094</v>
      </c>
      <c r="B51" s="347" t="s">
        <v>2139</v>
      </c>
      <c r="C51" s="347" t="s">
        <v>2140</v>
      </c>
      <c r="D51" s="340" t="s">
        <v>2141</v>
      </c>
      <c r="E51" s="341" t="s">
        <v>2142</v>
      </c>
      <c r="F51" s="342">
        <v>45995</v>
      </c>
      <c r="G51" s="339" t="s">
        <v>2143</v>
      </c>
      <c r="H51" s="343" t="s">
        <v>2144</v>
      </c>
      <c r="I51" s="344" t="str">
        <f>HYPERLINK("https://drive.google.com/file/d/18bJkkwWuNcR2NDdKhgnZo9HyVmCJTunv/view?usp=drivesdk","Basics of Web Programming using PHP")</f>
        <v xml:space="preserve">Basics of Web Programming using PHP</v>
      </c>
      <c r="J51" s="345" t="s">
        <v>2114</v>
      </c>
      <c r="K51" s="298"/>
      <c r="L51" s="191"/>
    </row>
    <row r="52" ht="25.5" customHeight="1">
      <c r="A52" s="65" t="s">
        <v>2094</v>
      </c>
      <c r="B52" s="347" t="s">
        <v>2145</v>
      </c>
      <c r="C52" s="347" t="s">
        <v>2146</v>
      </c>
      <c r="D52" s="340" t="s">
        <v>2147</v>
      </c>
      <c r="E52" s="341" t="s">
        <v>2148</v>
      </c>
      <c r="F52" s="342">
        <v>45995</v>
      </c>
      <c r="G52" s="339" t="s">
        <v>2149</v>
      </c>
      <c r="H52" s="343" t="s">
        <v>2150</v>
      </c>
      <c r="I52" s="344" t="str">
        <f>HYPERLINK("https://drive.google.com/file/d/18T0FqYe6lncXvqxkUJvx1BFJpOXOVigk/view?usp=drivesdk","Data Structure")</f>
        <v xml:space="preserve">Data Structure</v>
      </c>
      <c r="J52" s="345" t="s">
        <v>2151</v>
      </c>
      <c r="K52" s="298"/>
      <c r="L52" s="191"/>
    </row>
    <row r="53" ht="25.5" customHeight="1">
      <c r="A53" s="65" t="s">
        <v>2094</v>
      </c>
      <c r="B53" s="347" t="s">
        <v>2152</v>
      </c>
      <c r="C53" s="347" t="s">
        <v>2153</v>
      </c>
      <c r="D53" s="340" t="s">
        <v>2154</v>
      </c>
      <c r="E53" s="341" t="s">
        <v>2155</v>
      </c>
      <c r="F53" s="342">
        <v>45995</v>
      </c>
      <c r="G53" s="339" t="s">
        <v>2156</v>
      </c>
      <c r="H53" s="343" t="s">
        <v>2157</v>
      </c>
      <c r="I53" s="344" t="str">
        <f>HYPERLINK("https://drive.google.com/file/d/19k-E9v5Jrsb20pvLzQSNDoVv6e7x3h6m/view?usp=drivesdk","Software Development")</f>
        <v xml:space="preserve">Software Development</v>
      </c>
      <c r="J53" s="345" t="s">
        <v>2151</v>
      </c>
      <c r="K53" s="298"/>
      <c r="L53" s="191"/>
    </row>
    <row r="54" ht="25.5" customHeight="1">
      <c r="A54" s="65" t="s">
        <v>2094</v>
      </c>
      <c r="B54" s="347" t="s">
        <v>2158</v>
      </c>
      <c r="C54" s="347" t="s">
        <v>2159</v>
      </c>
      <c r="D54" s="340" t="s">
        <v>2160</v>
      </c>
      <c r="E54" s="341" t="s">
        <v>2161</v>
      </c>
      <c r="F54" s="342">
        <v>45995</v>
      </c>
      <c r="G54" s="339" t="s">
        <v>2162</v>
      </c>
      <c r="H54" s="343" t="s">
        <v>2163</v>
      </c>
      <c r="I54" s="344" t="str">
        <f>HYPERLINK("https://drive.google.com/file/d/1rqgkTP1ClLNnWfcu4uAFP2Y9seT2kEwJ/view?usp=drivesdk","Computer Organization and architecture")</f>
        <v xml:space="preserve">Computer Organization and architecture</v>
      </c>
      <c r="J54" s="345" t="s">
        <v>2151</v>
      </c>
      <c r="K54" s="298"/>
      <c r="L54" s="191"/>
    </row>
    <row r="55" ht="25.5" customHeight="1">
      <c r="A55" s="65" t="s">
        <v>2094</v>
      </c>
      <c r="B55" s="347" t="s">
        <v>2164</v>
      </c>
      <c r="C55" s="347" t="s">
        <v>2165</v>
      </c>
      <c r="D55" s="340" t="s">
        <v>2166</v>
      </c>
      <c r="E55" s="341" t="s">
        <v>2167</v>
      </c>
      <c r="F55" s="342">
        <v>45995</v>
      </c>
      <c r="G55" s="339" t="s">
        <v>2168</v>
      </c>
      <c r="H55" s="343" t="s">
        <v>2169</v>
      </c>
      <c r="I55" s="344" t="str">
        <f>HYPERLINK("https://drive.google.com/file/d/1H9cKL37WldPoq-36iq3SRTvqOJLTiM_V/view?usp=drivesdk","Computer Graphics_Image Processing")</f>
        <v xml:space="preserve">Computer Graphics_Image Processing</v>
      </c>
      <c r="J55" s="345" t="s">
        <v>2151</v>
      </c>
      <c r="K55" s="298"/>
      <c r="L55" s="191"/>
    </row>
    <row r="56" ht="25.5" customHeight="1">
      <c r="A56" s="65" t="s">
        <v>2094</v>
      </c>
      <c r="B56" s="347" t="s">
        <v>2170</v>
      </c>
      <c r="C56" s="347" t="s">
        <v>2171</v>
      </c>
      <c r="D56" s="340" t="s">
        <v>2172</v>
      </c>
      <c r="E56" s="341" t="s">
        <v>2173</v>
      </c>
      <c r="F56" s="342">
        <v>45995</v>
      </c>
      <c r="G56" s="339" t="s">
        <v>2174</v>
      </c>
      <c r="H56" s="343" t="s">
        <v>2175</v>
      </c>
      <c r="I56" s="344" t="str">
        <f>HYPERLINK("https://drive.google.com/file/d/1C1-dTJ0VUcYOYhE27CrcUKeiWkhGKL-D/view?usp=drivesdk",".Net")</f>
        <v>.Net</v>
      </c>
      <c r="J56" s="345" t="s">
        <v>2151</v>
      </c>
      <c r="K56" s="298"/>
      <c r="L56" s="191"/>
    </row>
    <row r="57" ht="25.5" customHeight="1">
      <c r="A57" s="65" t="s">
        <v>2094</v>
      </c>
      <c r="B57" s="347" t="s">
        <v>2176</v>
      </c>
      <c r="C57" s="347" t="s">
        <v>2177</v>
      </c>
      <c r="D57" s="340" t="s">
        <v>2178</v>
      </c>
      <c r="E57" s="341" t="s">
        <v>2179</v>
      </c>
      <c r="F57" s="342">
        <v>45995</v>
      </c>
      <c r="G57" s="339" t="s">
        <v>2180</v>
      </c>
      <c r="H57" s="343" t="s">
        <v>2181</v>
      </c>
      <c r="I57" s="344" t="str">
        <f>HYPERLINK("https://drive.google.com/file/d/1tC0W3Sx1PJte_XzEYjBV8RHmqqh1Hee5/view?usp=drivesdk","Software testing and tools")</f>
        <v xml:space="preserve">Software testing and tools</v>
      </c>
      <c r="J57" s="345" t="s">
        <v>2151</v>
      </c>
      <c r="K57" s="298"/>
      <c r="L57" s="191"/>
    </row>
    <row r="58" ht="25.5" customHeight="1">
      <c r="A58" s="65" t="s">
        <v>2094</v>
      </c>
      <c r="B58" s="347" t="s">
        <v>2182</v>
      </c>
      <c r="C58" s="347" t="s">
        <v>2183</v>
      </c>
      <c r="D58" s="340" t="s">
        <v>2184</v>
      </c>
      <c r="E58" s="341" t="s">
        <v>2185</v>
      </c>
      <c r="F58" s="342">
        <v>45995</v>
      </c>
      <c r="G58" s="339" t="s">
        <v>2186</v>
      </c>
      <c r="H58" s="343" t="s">
        <v>2187</v>
      </c>
      <c r="I58" s="344" t="str">
        <f>HYPERLINK("https://drive.google.com/file/d/1s2BhvDN8iFn3YzpVIXdTcqpk8tRvYZ_B/view?usp=drivesdk","Data Mining")</f>
        <v xml:space="preserve">Data Mining</v>
      </c>
      <c r="J58" s="345" t="s">
        <v>2188</v>
      </c>
      <c r="K58" s="298"/>
      <c r="L58" s="191"/>
    </row>
    <row r="59" ht="25.5" customHeight="1">
      <c r="A59" s="65" t="s">
        <v>2094</v>
      </c>
      <c r="B59" s="347" t="s">
        <v>2189</v>
      </c>
      <c r="C59" s="347" t="s">
        <v>2190</v>
      </c>
      <c r="D59" s="340" t="s">
        <v>2191</v>
      </c>
      <c r="E59" s="341" t="s">
        <v>2192</v>
      </c>
      <c r="F59" s="342">
        <v>45995</v>
      </c>
      <c r="G59" s="339" t="s">
        <v>2193</v>
      </c>
      <c r="H59" s="343" t="s">
        <v>2194</v>
      </c>
      <c r="I59" s="344" t="str">
        <f>HYPERLINK("https://drive.google.com/file/d/1lkyZPF_qzHl7MHWTV1mkNX8furxsm3hw/view?usp=drivesdk","Android ")</f>
        <v xml:space="preserve">Android </v>
      </c>
      <c r="J59" s="345" t="s">
        <v>2188</v>
      </c>
      <c r="K59" s="298"/>
      <c r="L59" s="191"/>
    </row>
    <row r="60" ht="25.5" customHeight="1">
      <c r="A60" s="65" t="s">
        <v>2094</v>
      </c>
      <c r="B60" s="347" t="s">
        <v>2195</v>
      </c>
      <c r="C60" s="347" t="s">
        <v>2196</v>
      </c>
      <c r="D60" s="340" t="s">
        <v>2197</v>
      </c>
      <c r="E60" s="341" t="s">
        <v>2198</v>
      </c>
      <c r="F60" s="342">
        <v>45995</v>
      </c>
      <c r="G60" s="339" t="s">
        <v>2199</v>
      </c>
      <c r="H60" s="343" t="s">
        <v>2200</v>
      </c>
      <c r="I60" s="344" t="str">
        <f>HYPERLINK("https://drive.google.com/file/d/1AyRlrHhhdE9y1duvvkMmu1g1H_oDz-cm/view?usp=drivesdk","Network Security and Cryptography")</f>
        <v xml:space="preserve">Network Security and Cryptography</v>
      </c>
      <c r="J60" s="345" t="s">
        <v>2188</v>
      </c>
      <c r="K60" s="298"/>
      <c r="L60" s="191"/>
    </row>
    <row r="61" ht="25.5" customHeight="1">
      <c r="A61" s="65" t="s">
        <v>2094</v>
      </c>
      <c r="B61" s="347" t="s">
        <v>2201</v>
      </c>
      <c r="C61" s="347" t="s">
        <v>2202</v>
      </c>
      <c r="D61" s="340" t="s">
        <v>2203</v>
      </c>
      <c r="E61" s="341" t="s">
        <v>2204</v>
      </c>
      <c r="F61" s="342">
        <v>45995</v>
      </c>
      <c r="G61" s="339" t="s">
        <v>2205</v>
      </c>
      <c r="H61" s="343" t="s">
        <v>2206</v>
      </c>
      <c r="I61" s="344" t="str">
        <f>HYPERLINK("https://drive.google.com/file/d/1NR-gUHxEqexzW_Fz9i_xubzH1emaxSM0/view?usp=drivesdk","AI ")</f>
        <v xml:space="preserve">AI </v>
      </c>
      <c r="J61" s="345" t="s">
        <v>2188</v>
      </c>
      <c r="K61" s="298"/>
      <c r="L61" s="191"/>
    </row>
    <row r="62" ht="25.5" customHeight="1">
      <c r="A62" s="65" t="s">
        <v>2094</v>
      </c>
      <c r="B62" s="347" t="s">
        <v>2207</v>
      </c>
      <c r="C62" s="347" t="s">
        <v>2208</v>
      </c>
      <c r="D62" s="340" t="s">
        <v>2209</v>
      </c>
      <c r="E62" s="341" t="s">
        <v>2210</v>
      </c>
      <c r="F62" s="342">
        <v>45995</v>
      </c>
      <c r="G62" s="339" t="s">
        <v>2211</v>
      </c>
      <c r="H62" s="343" t="s">
        <v>2212</v>
      </c>
      <c r="I62" s="344" t="str">
        <f>HYPERLINK("https://drive.google.com/file/d/1sJA6vqsdHf491nKz3i8GZB8Pfp-pWgGK/view?usp=drivesdk","Basic Electronics")</f>
        <v xml:space="preserve">Basic Electronics</v>
      </c>
      <c r="J62" s="345" t="s">
        <v>2188</v>
      </c>
      <c r="K62" s="298"/>
      <c r="L62" s="191"/>
    </row>
    <row r="63" ht="25.5" customHeight="1">
      <c r="A63" s="65" t="s">
        <v>2094</v>
      </c>
      <c r="B63" s="347" t="s">
        <v>2213</v>
      </c>
      <c r="C63" s="347" t="s">
        <v>2208</v>
      </c>
      <c r="D63" s="340" t="s">
        <v>2214</v>
      </c>
      <c r="E63" s="341" t="s">
        <v>2215</v>
      </c>
      <c r="F63" s="342">
        <v>45995</v>
      </c>
      <c r="G63" s="339" t="s">
        <v>2216</v>
      </c>
      <c r="H63" s="343" t="s">
        <v>2217</v>
      </c>
      <c r="I63" s="344" t="str">
        <f>HYPERLINK("https://drive.google.com/file/d/132-48eNbflqKq261Vm1tMONDi8lxt6Ig/view?usp=drivesdk","E-Waste Managment")</f>
        <v xml:space="preserve">E-Waste Managment</v>
      </c>
      <c r="J63" s="345" t="s">
        <v>2188</v>
      </c>
      <c r="K63" s="298"/>
      <c r="L63" s="191"/>
    </row>
    <row r="64" ht="25.5" customHeight="1">
      <c r="A64" s="22" t="s">
        <v>2218</v>
      </c>
      <c r="B64" s="348" t="s">
        <v>2219</v>
      </c>
      <c r="C64" s="348" t="s">
        <v>2220</v>
      </c>
      <c r="D64" s="106" t="s">
        <v>2221</v>
      </c>
      <c r="E64" s="349" t="s">
        <v>2222</v>
      </c>
      <c r="F64" s="350">
        <v>46059</v>
      </c>
      <c r="G64" s="351" t="s">
        <v>2223</v>
      </c>
      <c r="H64" s="352" t="s">
        <v>2224</v>
      </c>
      <c r="I64" s="353" t="str">
        <f>HYPERLINK("https://drive.google.com/file/d/1j2Z0ZYSB6hjJyK_l3fAKM9qbOdF8D0lP/view?usp=drivesdk","Medicinal Biochemistry")</f>
        <v xml:space="preserve">Medicinal Biochemistry</v>
      </c>
      <c r="J64" s="354" t="s">
        <v>2225</v>
      </c>
      <c r="K64" s="298"/>
      <c r="L64" s="191"/>
    </row>
    <row r="65" ht="25.5" customHeight="1">
      <c r="A65" s="22" t="s">
        <v>2218</v>
      </c>
      <c r="B65" s="348" t="s">
        <v>2226</v>
      </c>
      <c r="C65" s="348" t="s">
        <v>2227</v>
      </c>
      <c r="D65" s="106" t="s">
        <v>2228</v>
      </c>
      <c r="E65" s="349" t="s">
        <v>2229</v>
      </c>
      <c r="F65" s="350">
        <v>46059</v>
      </c>
      <c r="G65" s="351" t="s">
        <v>2230</v>
      </c>
      <c r="H65" s="352" t="s">
        <v>2231</v>
      </c>
      <c r="I65" s="353" t="str">
        <f>HYPERLINK("https://drive.google.com/file/d/13adbFClpbTmYQqF9_Ae543_NUGZqEO2C/view?usp=drivesdk","Pharmaceutical Inorganic Chemistry")</f>
        <v xml:space="preserve">Pharmaceutical Inorganic Chemistry</v>
      </c>
      <c r="J65" s="354" t="s">
        <v>2225</v>
      </c>
      <c r="K65" s="298"/>
      <c r="L65" s="191"/>
    </row>
    <row r="66" ht="25.5" customHeight="1">
      <c r="A66" s="22" t="s">
        <v>2218</v>
      </c>
      <c r="B66" s="106" t="s">
        <v>2232</v>
      </c>
      <c r="C66" s="348" t="s">
        <v>2233</v>
      </c>
      <c r="D66" s="351" t="s">
        <v>2234</v>
      </c>
      <c r="E66" s="349" t="s">
        <v>2235</v>
      </c>
      <c r="F66" s="350">
        <v>46059</v>
      </c>
      <c r="G66" s="351" t="s">
        <v>2236</v>
      </c>
      <c r="H66" s="352" t="s">
        <v>2237</v>
      </c>
      <c r="I66" s="353" t="str">
        <f>HYPERLINK("https://drive.google.com/file/d/1hHZhOXHmbTxY4VnH5m-tbtr9ppyYoWID/view?usp=drivesdk","Pharmacognosy &amp; Phytopharmaceuticals")</f>
        <v xml:space="preserve">Pharmacognosy &amp; Phytopharmaceuticals</v>
      </c>
      <c r="J66" s="354" t="s">
        <v>2225</v>
      </c>
      <c r="K66" s="298"/>
      <c r="L66" s="191"/>
    </row>
    <row r="67" ht="25.5" customHeight="1">
      <c r="A67" s="22" t="s">
        <v>2218</v>
      </c>
      <c r="B67" s="106" t="s">
        <v>2238</v>
      </c>
      <c r="C67" s="348" t="s">
        <v>2239</v>
      </c>
      <c r="D67" s="351" t="s">
        <v>2240</v>
      </c>
      <c r="E67" s="349" t="s">
        <v>2241</v>
      </c>
      <c r="F67" s="350">
        <v>46059</v>
      </c>
      <c r="G67" s="351" t="s">
        <v>2242</v>
      </c>
      <c r="H67" s="352" t="s">
        <v>2243</v>
      </c>
      <c r="I67" s="353" t="str">
        <f>HYPERLINK("https://drive.google.com/file/d/1ZWl-kXSS_PdXItt-A3OgqC54YGP95erJ/view?usp=drivesdk","Pharmacology-II")</f>
        <v>Pharmacology-II</v>
      </c>
      <c r="J67" s="354" t="s">
        <v>2225</v>
      </c>
      <c r="K67" s="298"/>
      <c r="L67" s="191"/>
    </row>
    <row r="68" ht="25.5" customHeight="1">
      <c r="A68" s="22" t="s">
        <v>2218</v>
      </c>
      <c r="B68" s="106" t="s">
        <v>2244</v>
      </c>
      <c r="C68" s="348" t="s">
        <v>2245</v>
      </c>
      <c r="D68" s="351" t="s">
        <v>2246</v>
      </c>
      <c r="E68" s="349" t="s">
        <v>2247</v>
      </c>
      <c r="F68" s="350">
        <v>46059</v>
      </c>
      <c r="G68" s="351" t="s">
        <v>2248</v>
      </c>
      <c r="H68" s="352" t="s">
        <v>2249</v>
      </c>
      <c r="I68" s="353" t="str">
        <f>HYPERLINK("https://drive.google.com/file/d/1k8lhQtlm7Ly6p9LvluB03WzcsjgVXUQp/view?usp=drivesdk","Pharmaceutical Jurisprudence")</f>
        <v xml:space="preserve">Pharmaceutical Jurisprudence</v>
      </c>
      <c r="J68" s="354" t="s">
        <v>2250</v>
      </c>
      <c r="K68" s="298"/>
      <c r="L68" s="191"/>
    </row>
    <row r="69" ht="25.5" customHeight="1">
      <c r="A69" s="22" t="s">
        <v>2218</v>
      </c>
      <c r="B69" s="106" t="s">
        <v>2251</v>
      </c>
      <c r="C69" s="348" t="s">
        <v>2252</v>
      </c>
      <c r="D69" s="351" t="s">
        <v>2253</v>
      </c>
      <c r="E69" s="349" t="s">
        <v>2254</v>
      </c>
      <c r="F69" s="350">
        <v>46059</v>
      </c>
      <c r="G69" s="351" t="s">
        <v>2255</v>
      </c>
      <c r="H69" s="352" t="s">
        <v>2256</v>
      </c>
      <c r="I69" s="353" t="str">
        <f>HYPERLINK("https://drive.google.com/file/d/1GSsrNS8K2tRjKDZ5_OoHrB30n7lUh4QU/view?usp=drivesdk","Pharmaceutical Formulations")</f>
        <v xml:space="preserve">Pharmaceutical Formulations</v>
      </c>
      <c r="J69" s="354" t="s">
        <v>2250</v>
      </c>
      <c r="K69" s="298"/>
      <c r="L69" s="191"/>
    </row>
    <row r="70" ht="25.5" customHeight="1">
      <c r="A70" s="22" t="s">
        <v>2218</v>
      </c>
      <c r="B70" s="106" t="s">
        <v>2257</v>
      </c>
      <c r="C70" s="348" t="s">
        <v>2258</v>
      </c>
      <c r="D70" s="351" t="s">
        <v>2259</v>
      </c>
      <c r="E70" s="349" t="s">
        <v>2260</v>
      </c>
      <c r="F70" s="350">
        <v>46059</v>
      </c>
      <c r="G70" s="351" t="s">
        <v>2261</v>
      </c>
      <c r="H70" s="352" t="s">
        <v>2262</v>
      </c>
      <c r="I70" s="353" t="str">
        <f>HYPERLINK("https://drive.google.com/file/d/11xRvL5MiACTMK8JiYCgI82Y-w7Ivlj4G/view?usp=drivesdk","Pharmacotherapeutics-III")</f>
        <v>Pharmacotherapeutics-III</v>
      </c>
      <c r="J70" s="354" t="s">
        <v>2250</v>
      </c>
      <c r="K70" s="298"/>
      <c r="L70" s="191"/>
    </row>
    <row r="71" ht="25.5" customHeight="1">
      <c r="A71" s="22" t="s">
        <v>2218</v>
      </c>
      <c r="B71" s="106" t="s">
        <v>2263</v>
      </c>
      <c r="C71" s="348" t="s">
        <v>2264</v>
      </c>
      <c r="D71" s="351" t="s">
        <v>2265</v>
      </c>
      <c r="E71" s="349" t="s">
        <v>2266</v>
      </c>
      <c r="F71" s="350">
        <v>46059</v>
      </c>
      <c r="G71" s="351" t="s">
        <v>2267</v>
      </c>
      <c r="H71" s="352" t="s">
        <v>2268</v>
      </c>
      <c r="I71" s="353" t="str">
        <f>HYPERLINK("https://drive.google.com/file/d/1vpOb-PnWsTFK6b5mmA0As-QQN-Jk3x-Q/view?usp=drivesdk","Pharmaceutical Chemistry – Theory")</f>
        <v xml:space="preserve">Pharmaceutical Chemistry – Theory</v>
      </c>
      <c r="J71" s="354" t="s">
        <v>2250</v>
      </c>
      <c r="K71" s="298"/>
      <c r="L71" s="191"/>
    </row>
    <row r="72" ht="25.5" customHeight="1">
      <c r="A72" s="22" t="s">
        <v>2218</v>
      </c>
      <c r="B72" s="106" t="s">
        <v>2269</v>
      </c>
      <c r="C72" s="348" t="s">
        <v>2270</v>
      </c>
      <c r="D72" s="351" t="s">
        <v>2271</v>
      </c>
      <c r="E72" s="349" t="s">
        <v>2272</v>
      </c>
      <c r="F72" s="350">
        <v>46059</v>
      </c>
      <c r="G72" s="351" t="s">
        <v>2273</v>
      </c>
      <c r="H72" s="352" t="s">
        <v>2274</v>
      </c>
      <c r="I72" s="353" t="str">
        <f>HYPERLINK("https://drive.google.com/file/d/1DfqxEf9PVGyI89tShMKrKqtRH_zWUptL/view?usp=drivesdk","Pharmacognosy –Theory")</f>
        <v xml:space="preserve">Pharmacognosy –Theory</v>
      </c>
      <c r="J72" s="354" t="s">
        <v>2250</v>
      </c>
      <c r="K72" s="298"/>
      <c r="L72" s="191"/>
    </row>
    <row r="73" ht="25.5" customHeight="1">
      <c r="A73" s="22" t="s">
        <v>2218</v>
      </c>
      <c r="B73" s="106" t="s">
        <v>2275</v>
      </c>
      <c r="C73" s="348" t="s">
        <v>2276</v>
      </c>
      <c r="D73" s="351" t="s">
        <v>2277</v>
      </c>
      <c r="E73" s="349" t="s">
        <v>2278</v>
      </c>
      <c r="F73" s="350">
        <v>46059</v>
      </c>
      <c r="G73" s="351" t="s">
        <v>2279</v>
      </c>
      <c r="H73" s="352" t="s">
        <v>2280</v>
      </c>
      <c r="I73" s="353" t="str">
        <f>HYPERLINK("https://drive.google.com/file/d/1o_3N_JfZ7OPRbTICW7UlPuxYykzDN6rQ/view?usp=drivesdk","Human Anatomy &amp; Physiology –Theory")</f>
        <v xml:space="preserve">Human Anatomy &amp; Physiology –Theory</v>
      </c>
      <c r="J73" s="354" t="s">
        <v>2250</v>
      </c>
      <c r="K73" s="298"/>
      <c r="L73" s="191"/>
    </row>
    <row r="74" ht="25.5" customHeight="1">
      <c r="A74" s="22" t="s">
        <v>2218</v>
      </c>
      <c r="B74" s="106" t="s">
        <v>2281</v>
      </c>
      <c r="C74" s="348" t="s">
        <v>2282</v>
      </c>
      <c r="D74" s="351" t="s">
        <v>2283</v>
      </c>
      <c r="E74" s="349" t="s">
        <v>2284</v>
      </c>
      <c r="F74" s="350">
        <v>46059</v>
      </c>
      <c r="G74" s="351" t="s">
        <v>2285</v>
      </c>
      <c r="H74" s="352" t="s">
        <v>2286</v>
      </c>
      <c r="I74" s="353" t="str">
        <f>HYPERLINK("https://drive.google.com/file/d/1Evm3w6w5o9smxmcFxAWvYMy1rafKBJMH/view?usp=drivesdk","Social Pharmacy –Theory")</f>
        <v xml:space="preserve">Social Pharmacy –Theory</v>
      </c>
      <c r="J74" s="354" t="s">
        <v>2287</v>
      </c>
      <c r="K74" s="298"/>
      <c r="L74" s="191"/>
    </row>
    <row r="75" ht="25.5" customHeight="1">
      <c r="A75" s="22" t="s">
        <v>2218</v>
      </c>
      <c r="B75" s="106" t="s">
        <v>2288</v>
      </c>
      <c r="C75" s="348" t="s">
        <v>2289</v>
      </c>
      <c r="D75" s="351" t="s">
        <v>2290</v>
      </c>
      <c r="E75" s="349" t="s">
        <v>2291</v>
      </c>
      <c r="F75" s="350">
        <v>46059</v>
      </c>
      <c r="G75" s="351" t="s">
        <v>2292</v>
      </c>
      <c r="H75" s="352" t="s">
        <v>2293</v>
      </c>
      <c r="I75" s="353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54" t="s">
        <v>2287</v>
      </c>
      <c r="K75" s="298"/>
      <c r="L75" s="191"/>
    </row>
    <row r="76" ht="25.5" customHeight="1">
      <c r="A76" s="22" t="s">
        <v>2218</v>
      </c>
      <c r="B76" s="106" t="s">
        <v>2244</v>
      </c>
      <c r="C76" s="348" t="s">
        <v>2245</v>
      </c>
      <c r="D76" s="351" t="s">
        <v>2294</v>
      </c>
      <c r="E76" s="349" t="s">
        <v>2295</v>
      </c>
      <c r="F76" s="350">
        <v>46059</v>
      </c>
      <c r="G76" s="351" t="s">
        <v>2296</v>
      </c>
      <c r="H76" s="352" t="s">
        <v>2297</v>
      </c>
      <c r="I76" s="353" t="str">
        <f>HYPERLINK("https://drive.google.com/file/d/1o-C4A8VsSGh5MzXQSn7mZs5kT-NuOyzV/view?usp=drivesdk","Pharmacy Law &amp; Ethics")</f>
        <v xml:space="preserve">Pharmacy Law &amp; Ethics</v>
      </c>
      <c r="J76" s="354" t="s">
        <v>2287</v>
      </c>
      <c r="K76" s="298"/>
      <c r="L76" s="191"/>
    </row>
    <row r="77" ht="25.5" customHeight="1">
      <c r="A77" s="355" t="s">
        <v>1326</v>
      </c>
      <c r="B77" s="106" t="s">
        <v>2298</v>
      </c>
      <c r="C77" s="348" t="s">
        <v>2299</v>
      </c>
      <c r="D77" s="351" t="s">
        <v>2300</v>
      </c>
      <c r="E77" s="349" t="s">
        <v>2301</v>
      </c>
      <c r="F77" s="350">
        <v>46139</v>
      </c>
      <c r="G77" s="351" t="s">
        <v>2302</v>
      </c>
      <c r="H77" s="352" t="s">
        <v>2303</v>
      </c>
      <c r="I77" s="353" t="str">
        <f>HYPERLINK("https://drive.google.com/file/d/1op3oCHRxQk6Qq4OQFk-s4cc34r2XwWjM/view?usp=drivesdk","Introduction Of Neuro Science")</f>
        <v xml:space="preserve">Introduction Of Neuro Science</v>
      </c>
      <c r="J77" s="354" t="s">
        <v>2304</v>
      </c>
      <c r="K77" s="298"/>
      <c r="L77" s="191"/>
    </row>
    <row r="78" ht="25.5" customHeight="1">
      <c r="A78" s="355" t="s">
        <v>1326</v>
      </c>
      <c r="B78" s="106" t="s">
        <v>2305</v>
      </c>
      <c r="C78" s="348" t="s">
        <v>2306</v>
      </c>
      <c r="D78" s="351" t="s">
        <v>2307</v>
      </c>
      <c r="E78" s="349" t="s">
        <v>2308</v>
      </c>
      <c r="F78" s="350">
        <v>46139</v>
      </c>
      <c r="G78" s="351" t="s">
        <v>2309</v>
      </c>
      <c r="H78" s="352" t="s">
        <v>2310</v>
      </c>
      <c r="I78" s="353" t="str">
        <f>HYPERLINK("https://drive.google.com/file/d/15uT99ac5cwq3r8P1sR-37QMaNl7JQjDT/view?usp=drivesdk","Infection control and plasmapheresis (T)")</f>
        <v xml:space="preserve">Infection control and plasmapheresis (T)</v>
      </c>
      <c r="J78" s="354" t="s">
        <v>2304</v>
      </c>
      <c r="K78" s="298"/>
      <c r="L78" s="191"/>
    </row>
    <row r="79" ht="25.5" customHeight="1">
      <c r="A79" s="355" t="s">
        <v>809</v>
      </c>
      <c r="B79" s="356" t="s">
        <v>2311</v>
      </c>
      <c r="C79" s="357" t="s">
        <v>2312</v>
      </c>
      <c r="D79" s="351" t="s">
        <v>2313</v>
      </c>
      <c r="E79" s="358" t="s">
        <v>2314</v>
      </c>
      <c r="F79" s="108">
        <v>46139</v>
      </c>
      <c r="G79" s="109" t="s">
        <v>2315</v>
      </c>
      <c r="H79" s="110" t="s">
        <v>2316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2317</v>
      </c>
    </row>
    <row r="80" ht="25.5" customHeight="1">
      <c r="A80" s="359" t="s">
        <v>809</v>
      </c>
      <c r="B80" s="360" t="s">
        <v>2318</v>
      </c>
      <c r="C80" s="361" t="s">
        <v>2319</v>
      </c>
      <c r="D80" s="362" t="s">
        <v>2320</v>
      </c>
      <c r="E80" s="358" t="s">
        <v>2321</v>
      </c>
      <c r="F80" s="179">
        <v>46139</v>
      </c>
      <c r="G80" s="363" t="s">
        <v>2322</v>
      </c>
      <c r="H80" s="364" t="s">
        <v>2323</v>
      </c>
      <c r="I80" s="365" t="str">
        <f>HYPERLINK("https://drive.google.com/file/d/1-qQ5zDE4PXDsaqSM7wGv0wAUmdSnFlA8/view?usp=drivesdk","Pharmaceutical Analysis")</f>
        <v xml:space="preserve">Pharmaceutical Analysis</v>
      </c>
      <c r="J80" s="366" t="s">
        <v>2324</v>
      </c>
    </row>
    <row r="81" ht="25.5" customHeight="1">
      <c r="A81" s="367" t="s">
        <v>1622</v>
      </c>
      <c r="B81" s="197" t="s">
        <v>2325</v>
      </c>
      <c r="C81" s="197" t="s">
        <v>2326</v>
      </c>
      <c r="D81" s="231" t="s">
        <v>2327</v>
      </c>
      <c r="E81" s="195" t="s">
        <v>2328</v>
      </c>
      <c r="F81" s="196">
        <v>46139</v>
      </c>
      <c r="G81" s="197" t="s">
        <v>2329</v>
      </c>
      <c r="H81" s="198" t="s">
        <v>2330</v>
      </c>
      <c r="I81" s="198" t="s">
        <v>2327</v>
      </c>
      <c r="J81" s="199" t="s">
        <v>2331</v>
      </c>
      <c r="K81" s="191"/>
      <c r="L81" s="191"/>
    </row>
    <row r="82" ht="25.5" customHeight="1">
      <c r="A82" s="368" t="s">
        <v>1622</v>
      </c>
      <c r="B82" s="204" t="s">
        <v>2332</v>
      </c>
      <c r="C82" s="204" t="s">
        <v>2333</v>
      </c>
      <c r="D82" s="213" t="s">
        <v>2334</v>
      </c>
      <c r="E82" s="195" t="s">
        <v>2335</v>
      </c>
      <c r="F82" s="203">
        <v>46139</v>
      </c>
      <c r="G82" s="204" t="s">
        <v>2336</v>
      </c>
      <c r="H82" s="205" t="s">
        <v>2337</v>
      </c>
      <c r="I82" s="205" t="s">
        <v>2334</v>
      </c>
      <c r="J82" s="206" t="s">
        <v>2338</v>
      </c>
      <c r="K82" s="191"/>
      <c r="L82" s="191"/>
    </row>
    <row r="83" ht="25.5" customHeight="1">
      <c r="A83" s="368" t="s">
        <v>1622</v>
      </c>
      <c r="B83" s="204" t="s">
        <v>2339</v>
      </c>
      <c r="C83" s="204" t="s">
        <v>2340</v>
      </c>
      <c r="D83" s="213" t="s">
        <v>2341</v>
      </c>
      <c r="E83" s="195" t="s">
        <v>2342</v>
      </c>
      <c r="F83" s="203">
        <v>46139</v>
      </c>
      <c r="G83" s="204" t="s">
        <v>2343</v>
      </c>
      <c r="H83" s="205" t="s">
        <v>2344</v>
      </c>
      <c r="I83" s="205" t="s">
        <v>2341</v>
      </c>
      <c r="J83" s="206" t="s">
        <v>2345</v>
      </c>
      <c r="K83" s="191"/>
      <c r="L83" s="191"/>
    </row>
    <row r="84" ht="25.5" customHeight="1">
      <c r="A84" s="368" t="s">
        <v>1622</v>
      </c>
      <c r="B84" s="197" t="s">
        <v>2346</v>
      </c>
      <c r="C84" s="197" t="s">
        <v>2347</v>
      </c>
      <c r="D84" s="231" t="s">
        <v>2348</v>
      </c>
      <c r="E84" s="195" t="s">
        <v>2349</v>
      </c>
      <c r="F84" s="196">
        <v>46139</v>
      </c>
      <c r="G84" s="197" t="s">
        <v>2350</v>
      </c>
      <c r="H84" s="198" t="s">
        <v>2351</v>
      </c>
      <c r="I84" s="198" t="s">
        <v>2348</v>
      </c>
      <c r="J84" s="199" t="s">
        <v>2345</v>
      </c>
      <c r="K84" s="191"/>
      <c r="L84" s="191"/>
    </row>
    <row r="85" ht="25.5" customHeight="1">
      <c r="A85" s="209" t="s">
        <v>2352</v>
      </c>
      <c r="B85" s="204" t="s">
        <v>2353</v>
      </c>
      <c r="C85" s="204" t="s">
        <v>2354</v>
      </c>
      <c r="D85" s="213" t="s">
        <v>2355</v>
      </c>
      <c r="E85" s="195" t="s">
        <v>2356</v>
      </c>
      <c r="F85" s="203">
        <v>46139</v>
      </c>
      <c r="G85" s="204" t="s">
        <v>2357</v>
      </c>
      <c r="H85" s="205" t="s">
        <v>2358</v>
      </c>
      <c r="I85" s="205" t="s">
        <v>2355</v>
      </c>
      <c r="J85" s="206" t="s">
        <v>2359</v>
      </c>
      <c r="K85" s="191"/>
      <c r="L85" s="191"/>
    </row>
    <row r="86" ht="25.5" customHeight="1">
      <c r="A86" s="369" t="s">
        <v>2352</v>
      </c>
      <c r="B86" s="197" t="s">
        <v>2360</v>
      </c>
      <c r="C86" s="197" t="s">
        <v>2361</v>
      </c>
      <c r="D86" s="231" t="s">
        <v>2362</v>
      </c>
      <c r="E86" s="195" t="s">
        <v>2363</v>
      </c>
      <c r="F86" s="196">
        <v>46139</v>
      </c>
      <c r="G86" s="197" t="s">
        <v>2364</v>
      </c>
      <c r="H86" s="198" t="s">
        <v>2365</v>
      </c>
      <c r="I86" s="198" t="s">
        <v>2362</v>
      </c>
      <c r="J86" s="199" t="s">
        <v>2359</v>
      </c>
      <c r="K86" s="191"/>
      <c r="L86" s="191"/>
    </row>
    <row r="87" ht="25.5" customHeight="1">
      <c r="A87" s="369" t="s">
        <v>2352</v>
      </c>
      <c r="B87" s="204" t="s">
        <v>2366</v>
      </c>
      <c r="C87" s="204" t="s">
        <v>2367</v>
      </c>
      <c r="D87" s="213" t="s">
        <v>2368</v>
      </c>
      <c r="E87" s="195" t="s">
        <v>2369</v>
      </c>
      <c r="F87" s="203">
        <v>46139</v>
      </c>
      <c r="G87" s="204" t="s">
        <v>2370</v>
      </c>
      <c r="H87" s="205" t="s">
        <v>2371</v>
      </c>
      <c r="I87" s="205" t="s">
        <v>2368</v>
      </c>
      <c r="J87" s="206" t="s">
        <v>2359</v>
      </c>
      <c r="K87" s="191"/>
      <c r="L87" s="191"/>
    </row>
    <row r="88" ht="25.5" customHeight="1">
      <c r="A88" s="369" t="s">
        <v>2352</v>
      </c>
      <c r="B88" s="197" t="s">
        <v>2372</v>
      </c>
      <c r="C88" s="197" t="s">
        <v>2373</v>
      </c>
      <c r="D88" s="231" t="s">
        <v>2374</v>
      </c>
      <c r="E88" s="195" t="s">
        <v>2375</v>
      </c>
      <c r="F88" s="196">
        <v>46139</v>
      </c>
      <c r="G88" s="197" t="s">
        <v>2376</v>
      </c>
      <c r="H88" s="198" t="s">
        <v>2377</v>
      </c>
      <c r="I88" s="198" t="s">
        <v>2374</v>
      </c>
      <c r="J88" s="199" t="s">
        <v>2359</v>
      </c>
      <c r="K88" s="191"/>
      <c r="L88" s="191"/>
    </row>
    <row r="89" ht="25.5" customHeight="1">
      <c r="A89" s="369" t="s">
        <v>2352</v>
      </c>
      <c r="B89" s="204" t="s">
        <v>2378</v>
      </c>
      <c r="C89" s="204" t="s">
        <v>2379</v>
      </c>
      <c r="D89" s="213" t="s">
        <v>2380</v>
      </c>
      <c r="E89" s="195" t="s">
        <v>2381</v>
      </c>
      <c r="F89" s="203">
        <v>46139</v>
      </c>
      <c r="G89" s="204" t="s">
        <v>2382</v>
      </c>
      <c r="H89" s="205" t="s">
        <v>2383</v>
      </c>
      <c r="I89" s="205" t="s">
        <v>2380</v>
      </c>
      <c r="J89" s="206" t="s">
        <v>2359</v>
      </c>
      <c r="K89" s="191"/>
      <c r="L89" s="191"/>
    </row>
    <row r="90" ht="25.5" customHeight="1">
      <c r="A90" s="367" t="s">
        <v>2384</v>
      </c>
      <c r="B90" s="197" t="s">
        <v>2385</v>
      </c>
      <c r="C90" s="197" t="s">
        <v>2386</v>
      </c>
      <c r="D90" s="231" t="s">
        <v>2385</v>
      </c>
      <c r="E90" s="195" t="s">
        <v>2387</v>
      </c>
      <c r="F90" s="196">
        <v>46139</v>
      </c>
      <c r="G90" s="197" t="s">
        <v>2388</v>
      </c>
      <c r="H90" s="198" t="s">
        <v>2389</v>
      </c>
      <c r="I90" s="198" t="s">
        <v>2385</v>
      </c>
      <c r="J90" s="199" t="s">
        <v>2390</v>
      </c>
      <c r="K90" s="191"/>
      <c r="L90" s="191"/>
    </row>
    <row r="91" ht="25.5" customHeight="1">
      <c r="A91" s="368" t="s">
        <v>2384</v>
      </c>
      <c r="B91" s="197" t="s">
        <v>2391</v>
      </c>
      <c r="C91" s="197" t="s">
        <v>2392</v>
      </c>
      <c r="D91" s="231" t="s">
        <v>1631</v>
      </c>
      <c r="E91" s="195" t="s">
        <v>1665</v>
      </c>
      <c r="F91" s="196">
        <v>46139</v>
      </c>
      <c r="G91" s="197" t="s">
        <v>2393</v>
      </c>
      <c r="H91" s="198" t="s">
        <v>2394</v>
      </c>
      <c r="I91" s="198" t="s">
        <v>1631</v>
      </c>
      <c r="J91" s="199" t="s">
        <v>2395</v>
      </c>
      <c r="K91" s="191"/>
      <c r="L91" s="191"/>
    </row>
    <row r="92" ht="25.5" customHeight="1">
      <c r="A92" s="368" t="s">
        <v>2384</v>
      </c>
      <c r="B92" s="204" t="s">
        <v>2396</v>
      </c>
      <c r="C92" s="204" t="s">
        <v>2397</v>
      </c>
      <c r="D92" s="213" t="s">
        <v>2398</v>
      </c>
      <c r="E92" s="195" t="s">
        <v>2399</v>
      </c>
      <c r="F92" s="203">
        <v>46139</v>
      </c>
      <c r="G92" s="204" t="s">
        <v>2400</v>
      </c>
      <c r="H92" s="205" t="s">
        <v>2401</v>
      </c>
      <c r="I92" s="205" t="s">
        <v>2398</v>
      </c>
      <c r="J92" s="206" t="s">
        <v>2395</v>
      </c>
      <c r="K92" s="191"/>
      <c r="L92" s="191"/>
    </row>
    <row r="93" ht="25.5" customHeight="1">
      <c r="A93" s="368" t="s">
        <v>2384</v>
      </c>
      <c r="B93" s="204" t="s">
        <v>2402</v>
      </c>
      <c r="C93" s="204" t="s">
        <v>2403</v>
      </c>
      <c r="D93" s="213" t="s">
        <v>2404</v>
      </c>
      <c r="E93" s="195" t="s">
        <v>2405</v>
      </c>
      <c r="F93" s="203">
        <v>46139</v>
      </c>
      <c r="G93" s="204" t="s">
        <v>2406</v>
      </c>
      <c r="H93" s="205" t="s">
        <v>2407</v>
      </c>
      <c r="I93" s="205" t="s">
        <v>2404</v>
      </c>
      <c r="J93" s="206" t="s">
        <v>2395</v>
      </c>
      <c r="K93" s="191"/>
      <c r="L93" s="191"/>
    </row>
    <row r="94" ht="25.5" customHeight="1">
      <c r="A94" s="368" t="s">
        <v>2384</v>
      </c>
      <c r="B94" s="197" t="s">
        <v>2408</v>
      </c>
      <c r="C94" s="197" t="s">
        <v>2409</v>
      </c>
      <c r="D94" s="231" t="s">
        <v>2410</v>
      </c>
      <c r="E94" s="195" t="s">
        <v>2411</v>
      </c>
      <c r="F94" s="196">
        <v>46139</v>
      </c>
      <c r="G94" s="197" t="s">
        <v>2412</v>
      </c>
      <c r="H94" s="198" t="s">
        <v>2413</v>
      </c>
      <c r="I94" s="198" t="s">
        <v>2410</v>
      </c>
      <c r="J94" s="199" t="s">
        <v>2414</v>
      </c>
      <c r="K94" s="191"/>
      <c r="L94" s="191"/>
    </row>
    <row r="95" ht="25.5" customHeight="1">
      <c r="A95" s="368" t="s">
        <v>2384</v>
      </c>
      <c r="B95" s="288" t="s">
        <v>2415</v>
      </c>
      <c r="C95" s="288" t="s">
        <v>2416</v>
      </c>
      <c r="D95" s="230" t="s">
        <v>2417</v>
      </c>
      <c r="E95" s="195" t="s">
        <v>2418</v>
      </c>
      <c r="F95" s="370">
        <v>46139</v>
      </c>
      <c r="G95" s="288" t="s">
        <v>2419</v>
      </c>
      <c r="H95" s="289" t="s">
        <v>2420</v>
      </c>
      <c r="I95" s="289" t="s">
        <v>2417</v>
      </c>
      <c r="J95" s="290" t="s">
        <v>2414</v>
      </c>
      <c r="K95" s="191"/>
      <c r="L95" s="191"/>
    </row>
    <row r="96" ht="25.5" customHeight="1">
      <c r="A96" s="273" t="s">
        <v>2421</v>
      </c>
      <c r="B96" s="277" t="s">
        <v>2422</v>
      </c>
      <c r="C96" s="277" t="s">
        <v>2423</v>
      </c>
      <c r="D96" s="371" t="s">
        <v>2424</v>
      </c>
      <c r="E96" s="186" t="s">
        <v>1671</v>
      </c>
      <c r="F96" s="276">
        <v>46146</v>
      </c>
      <c r="G96" s="277" t="s">
        <v>2425</v>
      </c>
      <c r="H96" s="181" t="s">
        <v>2426</v>
      </c>
      <c r="I96" s="181" t="s">
        <v>2424</v>
      </c>
      <c r="J96" s="182" t="s">
        <v>2427</v>
      </c>
      <c r="K96" s="191"/>
      <c r="L96" s="191"/>
    </row>
    <row r="97" ht="25.5" customHeight="1">
      <c r="A97" s="372" t="s">
        <v>2421</v>
      </c>
      <c r="B97" s="204" t="s">
        <v>2428</v>
      </c>
      <c r="C97" s="204" t="s">
        <v>2429</v>
      </c>
      <c r="D97" s="213" t="s">
        <v>2430</v>
      </c>
      <c r="E97" s="195" t="s">
        <v>1677</v>
      </c>
      <c r="F97" s="280">
        <v>46146</v>
      </c>
      <c r="G97" s="204" t="s">
        <v>2431</v>
      </c>
      <c r="H97" s="205" t="s">
        <v>2432</v>
      </c>
      <c r="I97" s="205" t="s">
        <v>2430</v>
      </c>
      <c r="J97" s="206" t="s">
        <v>2427</v>
      </c>
      <c r="K97" s="191"/>
      <c r="L97" s="191"/>
    </row>
    <row r="98" ht="25.5" customHeight="1">
      <c r="A98" s="372" t="s">
        <v>2421</v>
      </c>
      <c r="B98" s="197" t="s">
        <v>2433</v>
      </c>
      <c r="C98" s="197" t="s">
        <v>2434</v>
      </c>
      <c r="D98" s="231" t="s">
        <v>2435</v>
      </c>
      <c r="E98" s="195" t="s">
        <v>1683</v>
      </c>
      <c r="F98" s="284">
        <v>46146</v>
      </c>
      <c r="G98" s="197" t="s">
        <v>2436</v>
      </c>
      <c r="H98" s="198" t="s">
        <v>2437</v>
      </c>
      <c r="I98" s="198" t="s">
        <v>2435</v>
      </c>
      <c r="J98" s="199" t="s">
        <v>2427</v>
      </c>
      <c r="K98" s="191"/>
      <c r="L98" s="191"/>
    </row>
    <row r="99" ht="25.5" customHeight="1">
      <c r="A99" s="372" t="s">
        <v>2421</v>
      </c>
      <c r="B99" s="288" t="s">
        <v>2428</v>
      </c>
      <c r="C99" s="288" t="s">
        <v>2438</v>
      </c>
      <c r="D99" s="230" t="s">
        <v>2430</v>
      </c>
      <c r="E99" s="195" t="s">
        <v>1688</v>
      </c>
      <c r="F99" s="287">
        <v>46146</v>
      </c>
      <c r="G99" s="288" t="s">
        <v>2439</v>
      </c>
      <c r="H99" s="289" t="s">
        <v>2440</v>
      </c>
      <c r="I99" s="289" t="s">
        <v>2430</v>
      </c>
      <c r="J99" s="290" t="s">
        <v>2441</v>
      </c>
      <c r="K99" s="191"/>
      <c r="L99" s="191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A1" activeCellId="0" sqref="A1"/>
    </sheetView>
  </sheetViews>
  <sheetFormatPr defaultRowHeight="25.5" customHeight="1"/>
  <cols>
    <col bestFit="1" min="1" max="1" width="16.140625"/>
    <col bestFit="1" min="2" max="2" width="30.57421875"/>
    <col bestFit="1" min="3" max="3" width="30.28125"/>
    <col bestFit="1" min="4" max="4" width="29.8515625"/>
    <col bestFit="1" min="7" max="7" width="17.36328125"/>
  </cols>
  <sheetData>
    <row r="1" ht="25.5" customHeight="1">
      <c r="A1" s="1" t="s">
        <v>0</v>
      </c>
      <c r="B1" s="2" t="s">
        <v>1830</v>
      </c>
      <c r="C1" s="2" t="s">
        <v>1831</v>
      </c>
      <c r="D1" s="2" t="s">
        <v>2442</v>
      </c>
      <c r="E1" s="2" t="s">
        <v>2</v>
      </c>
      <c r="F1" s="2" t="s">
        <v>3</v>
      </c>
      <c r="G1" s="2" t="s">
        <v>4</v>
      </c>
      <c r="H1" s="3" t="s">
        <v>2443</v>
      </c>
      <c r="I1" s="3" t="s">
        <v>2444</v>
      </c>
      <c r="J1" s="3" t="s">
        <v>2445</v>
      </c>
      <c r="K1" s="4" t="s">
        <v>2446</v>
      </c>
    </row>
    <row r="2" ht="25.5" customHeight="1">
      <c r="A2" s="43" t="s">
        <v>1850</v>
      </c>
      <c r="B2" s="373" t="s">
        <v>1882</v>
      </c>
      <c r="C2" s="373" t="s">
        <v>1858</v>
      </c>
      <c r="D2" s="373" t="s">
        <v>1942</v>
      </c>
      <c r="E2" s="374" t="s">
        <v>2447</v>
      </c>
      <c r="F2" s="375" t="s">
        <v>2448</v>
      </c>
      <c r="G2" s="376">
        <v>45986</v>
      </c>
      <c r="H2" s="373" t="s">
        <v>2449</v>
      </c>
      <c r="I2" s="377" t="s">
        <v>2450</v>
      </c>
      <c r="J2" s="378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79" t="s">
        <v>2451</v>
      </c>
    </row>
    <row r="3" ht="25.5" customHeight="1">
      <c r="A3" s="43" t="s">
        <v>1850</v>
      </c>
      <c r="B3" s="373" t="s">
        <v>2452</v>
      </c>
      <c r="C3" s="373" t="s">
        <v>2453</v>
      </c>
      <c r="D3" s="373" t="s">
        <v>2454</v>
      </c>
      <c r="E3" s="374" t="s">
        <v>2455</v>
      </c>
      <c r="F3" s="375" t="s">
        <v>2456</v>
      </c>
      <c r="G3" s="380">
        <v>45986</v>
      </c>
      <c r="H3" s="373" t="s">
        <v>2457</v>
      </c>
      <c r="I3" s="377" t="s">
        <v>2458</v>
      </c>
      <c r="J3" s="378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79" t="s">
        <v>2451</v>
      </c>
    </row>
    <row r="4" ht="25.5" customHeight="1">
      <c r="A4" s="381" t="s">
        <v>153</v>
      </c>
      <c r="B4" s="27" t="s">
        <v>2459</v>
      </c>
      <c r="C4" s="27" t="s">
        <v>2460</v>
      </c>
      <c r="D4" s="27" t="s">
        <v>2461</v>
      </c>
      <c r="E4" s="312" t="s">
        <v>2462</v>
      </c>
      <c r="F4" s="313" t="s">
        <v>2463</v>
      </c>
      <c r="G4" s="382">
        <v>46000</v>
      </c>
      <c r="H4" s="27" t="s">
        <v>2464</v>
      </c>
      <c r="I4" s="28" t="s">
        <v>2465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2466</v>
      </c>
    </row>
    <row r="5" ht="25.5" customHeight="1">
      <c r="A5" s="14" t="s">
        <v>153</v>
      </c>
      <c r="B5" s="27" t="s">
        <v>2467</v>
      </c>
      <c r="C5" s="27" t="s">
        <v>2468</v>
      </c>
      <c r="D5" s="27" t="s">
        <v>1983</v>
      </c>
      <c r="E5" s="312" t="s">
        <v>2469</v>
      </c>
      <c r="F5" s="313" t="s">
        <v>2470</v>
      </c>
      <c r="G5" s="382">
        <v>46049</v>
      </c>
      <c r="H5" s="27" t="s">
        <v>2471</v>
      </c>
      <c r="I5" s="28" t="s">
        <v>2472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2466</v>
      </c>
    </row>
    <row r="6" ht="25.5" customHeight="1">
      <c r="A6" s="383" t="s">
        <v>153</v>
      </c>
      <c r="B6" s="312" t="s">
        <v>2473</v>
      </c>
      <c r="C6" s="27" t="s">
        <v>2474</v>
      </c>
      <c r="D6" s="27" t="s">
        <v>2475</v>
      </c>
      <c r="E6" s="312" t="s">
        <v>2476</v>
      </c>
      <c r="F6" s="313" t="s">
        <v>2477</v>
      </c>
      <c r="G6" s="382">
        <v>46112</v>
      </c>
      <c r="H6" s="27" t="s">
        <v>2478</v>
      </c>
      <c r="I6" s="28" t="s">
        <v>2479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2466</v>
      </c>
    </row>
    <row r="7" ht="25.5" customHeight="1">
      <c r="A7" s="384" t="s">
        <v>231</v>
      </c>
      <c r="B7" s="385" t="s">
        <v>2480</v>
      </c>
      <c r="C7" s="39" t="s">
        <v>2481</v>
      </c>
      <c r="D7" s="39" t="s">
        <v>2482</v>
      </c>
      <c r="E7" s="318" t="s">
        <v>2483</v>
      </c>
      <c r="F7" s="319" t="s">
        <v>2484</v>
      </c>
      <c r="G7" s="38">
        <v>46045</v>
      </c>
      <c r="H7" s="39" t="s">
        <v>2485</v>
      </c>
      <c r="I7" s="40" t="s">
        <v>2486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2487</v>
      </c>
    </row>
    <row r="8" ht="25.5" customHeight="1">
      <c r="A8" s="384" t="s">
        <v>231</v>
      </c>
      <c r="B8" s="35" t="s">
        <v>2488</v>
      </c>
      <c r="C8" s="39" t="s">
        <v>2489</v>
      </c>
      <c r="D8" s="39" t="s">
        <v>2490</v>
      </c>
      <c r="E8" s="318" t="s">
        <v>2491</v>
      </c>
      <c r="F8" s="319" t="s">
        <v>2492</v>
      </c>
      <c r="G8" s="38">
        <v>46045</v>
      </c>
      <c r="H8" s="39" t="s">
        <v>2493</v>
      </c>
      <c r="I8" s="40" t="s">
        <v>2494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2495</v>
      </c>
    </row>
    <row r="9" ht="25.5" customHeight="1">
      <c r="A9" s="384" t="s">
        <v>231</v>
      </c>
      <c r="B9" s="36" t="s">
        <v>2496</v>
      </c>
      <c r="C9" s="39" t="s">
        <v>2497</v>
      </c>
      <c r="D9" s="39" t="s">
        <v>2046</v>
      </c>
      <c r="E9" s="318" t="s">
        <v>2498</v>
      </c>
      <c r="F9" s="319" t="s">
        <v>2499</v>
      </c>
      <c r="G9" s="38">
        <v>46045</v>
      </c>
      <c r="H9" s="39" t="s">
        <v>2500</v>
      </c>
      <c r="I9" s="40" t="s">
        <v>2501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2495</v>
      </c>
    </row>
    <row r="10" ht="25.5" customHeight="1">
      <c r="A10" s="386" t="s">
        <v>231</v>
      </c>
      <c r="B10" s="385" t="s">
        <v>2502</v>
      </c>
      <c r="C10" s="39" t="s">
        <v>2503</v>
      </c>
      <c r="D10" s="39" t="s">
        <v>2504</v>
      </c>
      <c r="E10" s="318" t="s">
        <v>2505</v>
      </c>
      <c r="F10" s="319" t="s">
        <v>2506</v>
      </c>
      <c r="G10" s="38">
        <v>46045</v>
      </c>
      <c r="H10" s="39" t="s">
        <v>2507</v>
      </c>
      <c r="I10" s="40" t="s">
        <v>2508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2495</v>
      </c>
    </row>
    <row r="11" ht="25.5" customHeight="1">
      <c r="A11" s="386" t="s">
        <v>231</v>
      </c>
      <c r="B11" s="35" t="s">
        <v>2509</v>
      </c>
      <c r="C11" s="39" t="s">
        <v>2510</v>
      </c>
      <c r="D11" s="39" t="s">
        <v>2511</v>
      </c>
      <c r="E11" s="318" t="s">
        <v>2512</v>
      </c>
      <c r="F11" s="319" t="s">
        <v>2513</v>
      </c>
      <c r="G11" s="38">
        <v>46045</v>
      </c>
      <c r="H11" s="39" t="s">
        <v>2514</v>
      </c>
      <c r="I11" s="40" t="s">
        <v>2515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2495</v>
      </c>
    </row>
    <row r="12" ht="25.5" customHeight="1">
      <c r="A12" s="386" t="s">
        <v>231</v>
      </c>
      <c r="B12" s="35" t="s">
        <v>2516</v>
      </c>
      <c r="C12" s="39" t="s">
        <v>2517</v>
      </c>
      <c r="D12" s="39" t="s">
        <v>2518</v>
      </c>
      <c r="E12" s="318" t="s">
        <v>2519</v>
      </c>
      <c r="F12" s="319" t="s">
        <v>2520</v>
      </c>
      <c r="G12" s="38">
        <v>46045</v>
      </c>
      <c r="H12" s="39" t="s">
        <v>2521</v>
      </c>
      <c r="I12" s="40" t="s">
        <v>2522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2495</v>
      </c>
    </row>
    <row r="13" ht="25.5" customHeight="1">
      <c r="A13" s="386" t="s">
        <v>231</v>
      </c>
      <c r="B13" s="36" t="s">
        <v>2523</v>
      </c>
      <c r="C13" s="35" t="s">
        <v>2524</v>
      </c>
      <c r="D13" s="39" t="s">
        <v>2525</v>
      </c>
      <c r="E13" s="318" t="s">
        <v>2526</v>
      </c>
      <c r="F13" s="319" t="s">
        <v>2527</v>
      </c>
      <c r="G13" s="38">
        <v>46045</v>
      </c>
      <c r="H13" s="39" t="s">
        <v>2528</v>
      </c>
      <c r="I13" s="40" t="s">
        <v>2529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2495</v>
      </c>
    </row>
    <row r="14" ht="25.5" customHeight="1">
      <c r="A14" s="387" t="s">
        <v>231</v>
      </c>
      <c r="B14" s="388" t="s">
        <v>2530</v>
      </c>
      <c r="C14" s="36" t="s">
        <v>2531</v>
      </c>
      <c r="D14" s="318" t="s">
        <v>2532</v>
      </c>
      <c r="E14" s="318" t="s">
        <v>2533</v>
      </c>
      <c r="F14" s="319" t="s">
        <v>2534</v>
      </c>
      <c r="G14" s="38">
        <v>46045</v>
      </c>
      <c r="H14" s="39" t="s">
        <v>2535</v>
      </c>
      <c r="I14" s="40" t="s">
        <v>2536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2537</v>
      </c>
    </row>
    <row r="15" ht="25.5" customHeight="1">
      <c r="A15" s="5" t="s">
        <v>2094</v>
      </c>
      <c r="B15" s="346" t="s">
        <v>2538</v>
      </c>
      <c r="C15" s="346" t="s">
        <v>2539</v>
      </c>
      <c r="D15" s="346" t="s">
        <v>2540</v>
      </c>
      <c r="E15" s="339" t="s">
        <v>2541</v>
      </c>
      <c r="F15" s="341" t="s">
        <v>2542</v>
      </c>
      <c r="G15" s="389">
        <v>45995</v>
      </c>
      <c r="H15" s="390" t="s">
        <v>2543</v>
      </c>
      <c r="I15" s="391" t="s">
        <v>2544</v>
      </c>
      <c r="J15" s="392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93" t="s">
        <v>2545</v>
      </c>
    </row>
    <row r="16" ht="25.5" customHeight="1">
      <c r="A16" s="5" t="s">
        <v>2094</v>
      </c>
      <c r="B16" s="346" t="s">
        <v>2546</v>
      </c>
      <c r="C16" s="346" t="s">
        <v>2547</v>
      </c>
      <c r="D16" s="346" t="s">
        <v>2548</v>
      </c>
      <c r="E16" s="339" t="s">
        <v>2549</v>
      </c>
      <c r="F16" s="341" t="s">
        <v>2550</v>
      </c>
      <c r="G16" s="389">
        <v>45995</v>
      </c>
      <c r="H16" s="390" t="s">
        <v>2551</v>
      </c>
      <c r="I16" s="391" t="s">
        <v>2552</v>
      </c>
      <c r="J16" s="392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93" t="s">
        <v>2545</v>
      </c>
    </row>
    <row r="17" ht="25.5" customHeight="1">
      <c r="A17" s="5" t="s">
        <v>2094</v>
      </c>
      <c r="B17" s="390" t="s">
        <v>2553</v>
      </c>
      <c r="C17" s="394" t="s">
        <v>2554</v>
      </c>
      <c r="D17" s="390" t="s">
        <v>2555</v>
      </c>
      <c r="E17" s="340" t="s">
        <v>2556</v>
      </c>
      <c r="F17" s="341" t="s">
        <v>2557</v>
      </c>
      <c r="G17" s="389">
        <v>45995</v>
      </c>
      <c r="H17" s="390" t="s">
        <v>2558</v>
      </c>
      <c r="I17" s="391" t="s">
        <v>2559</v>
      </c>
      <c r="J17" s="392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93" t="s">
        <v>2560</v>
      </c>
    </row>
    <row r="18" ht="25.5" customHeight="1">
      <c r="A18" s="5" t="s">
        <v>2094</v>
      </c>
      <c r="B18" s="390" t="s">
        <v>2561</v>
      </c>
      <c r="C18" s="394" t="s">
        <v>2562</v>
      </c>
      <c r="D18" s="390" t="s">
        <v>2563</v>
      </c>
      <c r="E18" s="340" t="s">
        <v>2564</v>
      </c>
      <c r="F18" s="341" t="s">
        <v>2565</v>
      </c>
      <c r="G18" s="389">
        <v>45995</v>
      </c>
      <c r="H18" s="390" t="s">
        <v>2566</v>
      </c>
      <c r="I18" s="391" t="s">
        <v>2567</v>
      </c>
      <c r="J18" s="392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93" t="s">
        <v>2560</v>
      </c>
    </row>
    <row r="19" ht="25.5" customHeight="1">
      <c r="A19" s="5" t="s">
        <v>2094</v>
      </c>
      <c r="B19" s="390" t="s">
        <v>2568</v>
      </c>
      <c r="C19" s="394" t="s">
        <v>2569</v>
      </c>
      <c r="D19" s="390" t="s">
        <v>2570</v>
      </c>
      <c r="E19" s="340" t="s">
        <v>741</v>
      </c>
      <c r="F19" s="341" t="s">
        <v>2571</v>
      </c>
      <c r="G19" s="389">
        <v>45995</v>
      </c>
      <c r="H19" s="390" t="s">
        <v>2572</v>
      </c>
      <c r="I19" s="391" t="s">
        <v>2573</v>
      </c>
      <c r="J19" s="392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93" t="s">
        <v>2560</v>
      </c>
    </row>
    <row r="20" ht="25.5" customHeight="1">
      <c r="A20" s="5" t="s">
        <v>2094</v>
      </c>
      <c r="B20" s="390" t="s">
        <v>2574</v>
      </c>
      <c r="C20" s="394" t="s">
        <v>2575</v>
      </c>
      <c r="D20" s="390" t="s">
        <v>2576</v>
      </c>
      <c r="E20" s="340" t="s">
        <v>2577</v>
      </c>
      <c r="F20" s="341" t="s">
        <v>2578</v>
      </c>
      <c r="G20" s="389">
        <v>45995</v>
      </c>
      <c r="H20" s="390" t="s">
        <v>2579</v>
      </c>
      <c r="I20" s="391" t="s">
        <v>2580</v>
      </c>
      <c r="J20" s="392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93" t="s">
        <v>2560</v>
      </c>
    </row>
    <row r="21" ht="25.5" customHeight="1">
      <c r="A21" s="5" t="s">
        <v>2094</v>
      </c>
      <c r="B21" s="390" t="s">
        <v>2581</v>
      </c>
      <c r="C21" s="395" t="s">
        <v>2582</v>
      </c>
      <c r="D21" s="339" t="s">
        <v>2583</v>
      </c>
      <c r="E21" s="340" t="s">
        <v>2584</v>
      </c>
      <c r="F21" s="341" t="s">
        <v>2585</v>
      </c>
      <c r="G21" s="389">
        <v>45995</v>
      </c>
      <c r="H21" s="390" t="s">
        <v>2586</v>
      </c>
      <c r="I21" s="391" t="s">
        <v>2587</v>
      </c>
      <c r="J21" s="392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93" t="s">
        <v>2560</v>
      </c>
    </row>
    <row r="22" ht="25.5" customHeight="1">
      <c r="A22" s="149" t="s">
        <v>2218</v>
      </c>
      <c r="B22" s="351" t="s">
        <v>2588</v>
      </c>
      <c r="C22" s="396" t="s">
        <v>2589</v>
      </c>
      <c r="D22" s="396" t="s">
        <v>2590</v>
      </c>
      <c r="E22" s="106" t="s">
        <v>2591</v>
      </c>
      <c r="F22" s="349" t="s">
        <v>2592</v>
      </c>
      <c r="G22" s="108">
        <v>46059</v>
      </c>
      <c r="H22" s="109" t="s">
        <v>2593</v>
      </c>
      <c r="I22" s="110" t="s">
        <v>2594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2595</v>
      </c>
    </row>
    <row r="23" ht="25.5" customHeight="1">
      <c r="A23" s="149" t="s">
        <v>2218</v>
      </c>
      <c r="B23" s="109" t="s">
        <v>2596</v>
      </c>
      <c r="C23" s="397" t="s">
        <v>2597</v>
      </c>
      <c r="D23" s="397" t="s">
        <v>2598</v>
      </c>
      <c r="E23" s="106" t="s">
        <v>2599</v>
      </c>
      <c r="F23" s="349" t="s">
        <v>2600</v>
      </c>
      <c r="G23" s="108">
        <v>46059</v>
      </c>
      <c r="H23" s="109" t="s">
        <v>2601</v>
      </c>
      <c r="I23" s="110" t="s">
        <v>2602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2595</v>
      </c>
    </row>
    <row r="24" ht="25.5" customHeight="1">
      <c r="A24" s="398" t="s">
        <v>2094</v>
      </c>
      <c r="B24" s="399" t="s">
        <v>2603</v>
      </c>
      <c r="C24" s="400" t="s">
        <v>2604</v>
      </c>
      <c r="D24" s="400" t="s">
        <v>2605</v>
      </c>
      <c r="E24" s="401" t="s">
        <v>2606</v>
      </c>
      <c r="F24" s="349" t="s">
        <v>2607</v>
      </c>
      <c r="G24" s="179">
        <v>46049</v>
      </c>
      <c r="H24" s="363" t="s">
        <v>2608</v>
      </c>
      <c r="I24" s="364" t="s">
        <v>2609</v>
      </c>
      <c r="J24" s="365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4" s="366" t="s">
        <v>2610</v>
      </c>
    </row>
    <row r="25" ht="25.5" customHeight="1">
      <c r="A25" s="402" t="s">
        <v>2611</v>
      </c>
      <c r="B25" s="403" t="s">
        <v>2612</v>
      </c>
      <c r="C25" s="403" t="s">
        <v>2613</v>
      </c>
      <c r="D25" s="404" t="s">
        <v>2614</v>
      </c>
      <c r="E25" s="371" t="s">
        <v>2615</v>
      </c>
      <c r="F25" s="405" t="s">
        <v>2616</v>
      </c>
      <c r="G25" s="406">
        <v>46139</v>
      </c>
      <c r="H25" s="277" t="s">
        <v>2617</v>
      </c>
      <c r="I25" s="181" t="s">
        <v>2618</v>
      </c>
      <c r="J25" s="181" t="s">
        <v>2619</v>
      </c>
      <c r="K25" s="182" t="s">
        <v>2620</v>
      </c>
      <c r="L25" s="191"/>
      <c r="M25" s="191"/>
    </row>
    <row r="26" ht="25.5" customHeight="1">
      <c r="A26" s="228" t="s">
        <v>231</v>
      </c>
      <c r="B26" s="204" t="s">
        <v>2621</v>
      </c>
      <c r="C26" s="204" t="s">
        <v>2622</v>
      </c>
      <c r="D26" s="407" t="s">
        <v>2623</v>
      </c>
      <c r="E26" s="213" t="s">
        <v>2624</v>
      </c>
      <c r="F26" s="195" t="s">
        <v>1598</v>
      </c>
      <c r="G26" s="203">
        <v>46139</v>
      </c>
      <c r="H26" s="204" t="s">
        <v>2625</v>
      </c>
      <c r="I26" s="205" t="s">
        <v>2626</v>
      </c>
      <c r="J26" s="205" t="s">
        <v>2627</v>
      </c>
      <c r="K26" s="206" t="s">
        <v>2628</v>
      </c>
      <c r="L26" s="191"/>
      <c r="M26" s="191"/>
    </row>
    <row r="27" ht="25.5" customHeight="1">
      <c r="A27" s="192" t="s">
        <v>1622</v>
      </c>
      <c r="B27" s="197" t="s">
        <v>2629</v>
      </c>
      <c r="C27" s="197" t="s">
        <v>2630</v>
      </c>
      <c r="D27" s="408" t="s">
        <v>2631</v>
      </c>
      <c r="E27" s="231" t="s">
        <v>2632</v>
      </c>
      <c r="F27" s="195" t="s">
        <v>2633</v>
      </c>
      <c r="G27" s="196">
        <v>46139</v>
      </c>
      <c r="H27" s="197" t="s">
        <v>2634</v>
      </c>
      <c r="I27" s="198" t="s">
        <v>2635</v>
      </c>
      <c r="J27" s="198" t="s">
        <v>2636</v>
      </c>
      <c r="K27" s="199" t="s">
        <v>2637</v>
      </c>
      <c r="L27" s="191"/>
      <c r="M27" s="191"/>
    </row>
    <row r="28" ht="25.5" customHeight="1">
      <c r="A28" s="409" t="s">
        <v>1622</v>
      </c>
      <c r="B28" s="204" t="s">
        <v>2638</v>
      </c>
      <c r="C28" s="204" t="s">
        <v>2639</v>
      </c>
      <c r="D28" s="407" t="s">
        <v>2640</v>
      </c>
      <c r="E28" s="213" t="s">
        <v>2641</v>
      </c>
      <c r="F28" s="195" t="s">
        <v>2642</v>
      </c>
      <c r="G28" s="203">
        <v>46139</v>
      </c>
      <c r="H28" s="204" t="s">
        <v>2643</v>
      </c>
      <c r="I28" s="205" t="s">
        <v>2644</v>
      </c>
      <c r="J28" s="205" t="s">
        <v>2645</v>
      </c>
      <c r="K28" s="206" t="s">
        <v>2637</v>
      </c>
      <c r="L28" s="191"/>
      <c r="M28" s="191"/>
    </row>
    <row r="29" ht="25.5" customHeight="1">
      <c r="A29" s="409" t="s">
        <v>1622</v>
      </c>
      <c r="B29" s="197" t="s">
        <v>2646</v>
      </c>
      <c r="C29" s="197" t="s">
        <v>2647</v>
      </c>
      <c r="D29" s="408" t="s">
        <v>2648</v>
      </c>
      <c r="E29" s="231" t="s">
        <v>2649</v>
      </c>
      <c r="F29" s="195" t="s">
        <v>2650</v>
      </c>
      <c r="G29" s="196">
        <v>46139</v>
      </c>
      <c r="H29" s="197" t="s">
        <v>2651</v>
      </c>
      <c r="I29" s="198" t="s">
        <v>2652</v>
      </c>
      <c r="J29" s="198" t="s">
        <v>2653</v>
      </c>
      <c r="K29" s="199" t="s">
        <v>2637</v>
      </c>
      <c r="L29" s="191"/>
      <c r="M29" s="191"/>
    </row>
    <row r="30" ht="25.5" customHeight="1">
      <c r="A30" s="409" t="s">
        <v>1622</v>
      </c>
      <c r="B30" s="204" t="s">
        <v>2654</v>
      </c>
      <c r="C30" s="204" t="s">
        <v>2655</v>
      </c>
      <c r="D30" s="407" t="s">
        <v>2656</v>
      </c>
      <c r="E30" s="213" t="s">
        <v>2657</v>
      </c>
      <c r="F30" s="195" t="s">
        <v>2658</v>
      </c>
      <c r="G30" s="203">
        <v>46139</v>
      </c>
      <c r="H30" s="204" t="s">
        <v>2659</v>
      </c>
      <c r="I30" s="205" t="s">
        <v>2660</v>
      </c>
      <c r="J30" s="205" t="s">
        <v>2661</v>
      </c>
      <c r="K30" s="206" t="s">
        <v>2331</v>
      </c>
      <c r="L30" s="191"/>
      <c r="M30" s="191"/>
    </row>
    <row r="31" ht="25.5" customHeight="1">
      <c r="A31" s="192" t="s">
        <v>2352</v>
      </c>
      <c r="B31" s="197" t="s">
        <v>2662</v>
      </c>
      <c r="C31" s="197" t="s">
        <v>2663</v>
      </c>
      <c r="D31" s="408" t="s">
        <v>2664</v>
      </c>
      <c r="E31" s="231" t="s">
        <v>2665</v>
      </c>
      <c r="F31" s="195" t="s">
        <v>2666</v>
      </c>
      <c r="G31" s="196">
        <v>46139</v>
      </c>
      <c r="H31" s="197" t="s">
        <v>2667</v>
      </c>
      <c r="I31" s="198" t="s">
        <v>2668</v>
      </c>
      <c r="J31" s="198" t="s">
        <v>2669</v>
      </c>
      <c r="K31" s="199" t="s">
        <v>2670</v>
      </c>
      <c r="L31" s="191"/>
      <c r="M31" s="191"/>
    </row>
    <row r="32" ht="25.5" customHeight="1">
      <c r="A32" s="228" t="s">
        <v>2671</v>
      </c>
      <c r="B32" s="204" t="s">
        <v>2672</v>
      </c>
      <c r="C32" s="204" t="s">
        <v>2673</v>
      </c>
      <c r="D32" s="407" t="s">
        <v>2674</v>
      </c>
      <c r="E32" s="213" t="s">
        <v>2675</v>
      </c>
      <c r="F32" s="195" t="s">
        <v>2676</v>
      </c>
      <c r="G32" s="203">
        <v>46139</v>
      </c>
      <c r="H32" s="204" t="s">
        <v>2677</v>
      </c>
      <c r="I32" s="205" t="s">
        <v>2678</v>
      </c>
      <c r="J32" s="205" t="s">
        <v>2679</v>
      </c>
      <c r="K32" s="206" t="s">
        <v>2680</v>
      </c>
      <c r="L32" s="191"/>
      <c r="M32" s="191"/>
    </row>
    <row r="33" ht="25.5" customHeight="1">
      <c r="A33" s="410" t="s">
        <v>2671</v>
      </c>
      <c r="B33" s="197" t="s">
        <v>2681</v>
      </c>
      <c r="C33" s="197" t="s">
        <v>2682</v>
      </c>
      <c r="D33" s="408" t="s">
        <v>2683</v>
      </c>
      <c r="E33" s="231" t="s">
        <v>2684</v>
      </c>
      <c r="F33" s="195" t="s">
        <v>2685</v>
      </c>
      <c r="G33" s="196">
        <v>46139</v>
      </c>
      <c r="H33" s="197" t="s">
        <v>2686</v>
      </c>
      <c r="I33" s="198" t="s">
        <v>2687</v>
      </c>
      <c r="J33" s="198" t="s">
        <v>2688</v>
      </c>
      <c r="K33" s="199" t="s">
        <v>2680</v>
      </c>
      <c r="L33" s="191"/>
      <c r="M33" s="191"/>
    </row>
    <row r="34" ht="25.5" customHeight="1">
      <c r="A34" s="410" t="s">
        <v>2671</v>
      </c>
      <c r="B34" s="204" t="s">
        <v>2689</v>
      </c>
      <c r="C34" s="204" t="s">
        <v>2690</v>
      </c>
      <c r="D34" s="407" t="s">
        <v>2691</v>
      </c>
      <c r="E34" s="213" t="s">
        <v>2692</v>
      </c>
      <c r="F34" s="195" t="s">
        <v>2693</v>
      </c>
      <c r="G34" s="203">
        <v>46139</v>
      </c>
      <c r="H34" s="204" t="s">
        <v>2694</v>
      </c>
      <c r="I34" s="205" t="s">
        <v>2695</v>
      </c>
      <c r="J34" s="205" t="s">
        <v>2696</v>
      </c>
      <c r="K34" s="206" t="s">
        <v>2680</v>
      </c>
      <c r="L34" s="191"/>
      <c r="M34" s="191"/>
    </row>
    <row r="35" ht="25.5" customHeight="1">
      <c r="A35" s="410" t="s">
        <v>2671</v>
      </c>
      <c r="B35" s="197" t="s">
        <v>2697</v>
      </c>
      <c r="C35" s="197" t="s">
        <v>2698</v>
      </c>
      <c r="D35" s="408" t="s">
        <v>2699</v>
      </c>
      <c r="E35" s="231" t="s">
        <v>2700</v>
      </c>
      <c r="F35" s="195" t="s">
        <v>2701</v>
      </c>
      <c r="G35" s="196">
        <v>46139</v>
      </c>
      <c r="H35" s="197" t="s">
        <v>2702</v>
      </c>
      <c r="I35" s="198" t="s">
        <v>2703</v>
      </c>
      <c r="J35" s="198" t="s">
        <v>2704</v>
      </c>
      <c r="K35" s="199" t="s">
        <v>2680</v>
      </c>
      <c r="L35" s="191"/>
      <c r="M35" s="191"/>
    </row>
    <row r="36" ht="25.5" customHeight="1">
      <c r="A36" s="410" t="s">
        <v>2671</v>
      </c>
      <c r="B36" s="204" t="s">
        <v>2705</v>
      </c>
      <c r="C36" s="204" t="s">
        <v>2706</v>
      </c>
      <c r="D36" s="407" t="s">
        <v>2707</v>
      </c>
      <c r="E36" s="213" t="s">
        <v>2708</v>
      </c>
      <c r="F36" s="195" t="s">
        <v>2709</v>
      </c>
      <c r="G36" s="203">
        <v>46139</v>
      </c>
      <c r="H36" s="204" t="s">
        <v>2710</v>
      </c>
      <c r="I36" s="205" t="s">
        <v>2711</v>
      </c>
      <c r="J36" s="205" t="s">
        <v>2712</v>
      </c>
      <c r="K36" s="206" t="s">
        <v>2680</v>
      </c>
      <c r="L36" s="191"/>
      <c r="M36" s="191"/>
    </row>
    <row r="37" ht="25.5" customHeight="1">
      <c r="A37" s="192" t="s">
        <v>1655</v>
      </c>
      <c r="B37" s="197" t="s">
        <v>2713</v>
      </c>
      <c r="C37" s="197" t="s">
        <v>2714</v>
      </c>
      <c r="D37" s="408" t="s">
        <v>2715</v>
      </c>
      <c r="E37" s="231" t="s">
        <v>2716</v>
      </c>
      <c r="F37" s="195" t="s">
        <v>2717</v>
      </c>
      <c r="G37" s="196">
        <v>46139</v>
      </c>
      <c r="H37" s="197" t="s">
        <v>2718</v>
      </c>
      <c r="I37" s="198" t="s">
        <v>2719</v>
      </c>
      <c r="J37" s="198" t="s">
        <v>2720</v>
      </c>
      <c r="K37" s="199" t="s">
        <v>2721</v>
      </c>
      <c r="L37" s="191"/>
      <c r="M37" s="191"/>
    </row>
    <row r="38" ht="25.5" customHeight="1">
      <c r="A38" s="409" t="s">
        <v>1655</v>
      </c>
      <c r="B38" s="204" t="s">
        <v>2722</v>
      </c>
      <c r="C38" s="204" t="s">
        <v>2723</v>
      </c>
      <c r="D38" s="407" t="s">
        <v>2724</v>
      </c>
      <c r="E38" s="213" t="s">
        <v>2725</v>
      </c>
      <c r="F38" s="195" t="s">
        <v>2726</v>
      </c>
      <c r="G38" s="203">
        <v>46139</v>
      </c>
      <c r="H38" s="204" t="s">
        <v>2727</v>
      </c>
      <c r="I38" s="205" t="s">
        <v>2728</v>
      </c>
      <c r="J38" s="205" t="s">
        <v>2729</v>
      </c>
      <c r="K38" s="206" t="s">
        <v>2721</v>
      </c>
      <c r="L38" s="191"/>
      <c r="M38" s="191"/>
    </row>
    <row r="39" ht="25.5" customHeight="1">
      <c r="A39" s="409" t="s">
        <v>1655</v>
      </c>
      <c r="B39" s="197" t="s">
        <v>2730</v>
      </c>
      <c r="C39" s="197" t="s">
        <v>2731</v>
      </c>
      <c r="D39" s="197" t="s">
        <v>2732</v>
      </c>
      <c r="E39" s="231" t="s">
        <v>2733</v>
      </c>
      <c r="F39" s="411" t="s">
        <v>2734</v>
      </c>
      <c r="G39" s="412">
        <v>46139</v>
      </c>
      <c r="H39" s="197" t="s">
        <v>2735</v>
      </c>
      <c r="I39" s="198" t="s">
        <v>2736</v>
      </c>
      <c r="J39" s="198" t="s">
        <v>2737</v>
      </c>
      <c r="K39" s="199" t="s">
        <v>2738</v>
      </c>
      <c r="L39" s="191"/>
      <c r="M39" s="191"/>
    </row>
    <row r="40" ht="25.5" customHeight="1">
      <c r="A40" s="228" t="s">
        <v>153</v>
      </c>
      <c r="B40" s="204" t="s">
        <v>2739</v>
      </c>
      <c r="C40" s="204" t="s">
        <v>2740</v>
      </c>
      <c r="D40" s="204" t="s">
        <v>2741</v>
      </c>
      <c r="E40" s="213" t="s">
        <v>2742</v>
      </c>
      <c r="F40" s="195" t="s">
        <v>1671</v>
      </c>
      <c r="G40" s="413">
        <v>46139</v>
      </c>
      <c r="H40" s="204" t="s">
        <v>2743</v>
      </c>
      <c r="I40" s="205" t="s">
        <v>2744</v>
      </c>
      <c r="J40" s="205" t="s">
        <v>2745</v>
      </c>
      <c r="K40" s="206" t="s">
        <v>2746</v>
      </c>
      <c r="L40" s="191"/>
      <c r="M40" s="191"/>
    </row>
    <row r="41" ht="25.5" customHeight="1">
      <c r="A41" s="410" t="s">
        <v>153</v>
      </c>
      <c r="B41" s="197" t="s">
        <v>2747</v>
      </c>
      <c r="C41" s="197" t="s">
        <v>2748</v>
      </c>
      <c r="D41" s="197" t="s">
        <v>2749</v>
      </c>
      <c r="E41" s="231" t="s">
        <v>2750</v>
      </c>
      <c r="F41" s="195" t="s">
        <v>1677</v>
      </c>
      <c r="G41" s="412">
        <v>46139</v>
      </c>
      <c r="H41" s="197" t="s">
        <v>2751</v>
      </c>
      <c r="I41" s="198" t="s">
        <v>2752</v>
      </c>
      <c r="J41" s="198" t="s">
        <v>2753</v>
      </c>
      <c r="K41" s="199" t="s">
        <v>2754</v>
      </c>
      <c r="L41" s="191"/>
      <c r="M41" s="191"/>
    </row>
    <row r="42" ht="25.5" customHeight="1">
      <c r="A42" s="414" t="s">
        <v>153</v>
      </c>
      <c r="B42" s="204" t="s">
        <v>2755</v>
      </c>
      <c r="C42" s="204" t="s">
        <v>2756</v>
      </c>
      <c r="D42" s="204" t="s">
        <v>2757</v>
      </c>
      <c r="E42" s="213" t="s">
        <v>2758</v>
      </c>
      <c r="F42" s="195" t="s">
        <v>1683</v>
      </c>
      <c r="G42" s="413">
        <v>46139</v>
      </c>
      <c r="H42" s="204" t="s">
        <v>2759</v>
      </c>
      <c r="I42" s="205" t="s">
        <v>2760</v>
      </c>
      <c r="J42" s="205" t="s">
        <v>2761</v>
      </c>
      <c r="K42" s="206" t="s">
        <v>2754</v>
      </c>
      <c r="L42" s="191"/>
      <c r="M42" s="191"/>
    </row>
    <row r="43" ht="25.5" customHeight="1">
      <c r="A43" s="228" t="s">
        <v>153</v>
      </c>
      <c r="B43" s="415" t="s">
        <v>2762</v>
      </c>
      <c r="C43" s="277" t="s">
        <v>2747</v>
      </c>
      <c r="D43" s="277" t="s">
        <v>2763</v>
      </c>
      <c r="E43" s="371" t="s">
        <v>2764</v>
      </c>
      <c r="F43" s="186" t="s">
        <v>1688</v>
      </c>
      <c r="G43" s="416">
        <v>46139</v>
      </c>
      <c r="H43" s="277" t="s">
        <v>2765</v>
      </c>
      <c r="I43" s="181" t="s">
        <v>2766</v>
      </c>
      <c r="J43" s="181" t="s">
        <v>2767</v>
      </c>
      <c r="K43" s="182" t="s">
        <v>2754</v>
      </c>
      <c r="L43" s="191"/>
      <c r="M43" s="191"/>
    </row>
    <row r="44" ht="25.5" customHeight="1">
      <c r="A44" s="417" t="s">
        <v>2768</v>
      </c>
      <c r="B44" s="204" t="s">
        <v>2769</v>
      </c>
      <c r="C44" s="204" t="s">
        <v>2770</v>
      </c>
      <c r="D44" s="204" t="s">
        <v>2771</v>
      </c>
      <c r="E44" s="213" t="s">
        <v>2772</v>
      </c>
      <c r="F44" s="195" t="s">
        <v>1694</v>
      </c>
      <c r="G44" s="418">
        <v>46139</v>
      </c>
      <c r="H44" s="204" t="s">
        <v>2773</v>
      </c>
      <c r="I44" s="205" t="s">
        <v>2774</v>
      </c>
      <c r="J44" s="205" t="s">
        <v>2775</v>
      </c>
      <c r="K44" s="206" t="s">
        <v>2776</v>
      </c>
      <c r="L44" s="191"/>
      <c r="M44" s="191"/>
    </row>
    <row r="45" ht="25.5" customHeight="1">
      <c r="A45" s="419" t="s">
        <v>2768</v>
      </c>
      <c r="B45" s="197" t="s">
        <v>2777</v>
      </c>
      <c r="C45" s="197" t="s">
        <v>2778</v>
      </c>
      <c r="D45" s="197" t="s">
        <v>2779</v>
      </c>
      <c r="E45" s="231" t="s">
        <v>2780</v>
      </c>
      <c r="F45" s="195" t="s">
        <v>1700</v>
      </c>
      <c r="G45" s="420">
        <v>46139</v>
      </c>
      <c r="H45" s="197" t="s">
        <v>2781</v>
      </c>
      <c r="I45" s="198" t="s">
        <v>2782</v>
      </c>
      <c r="J45" s="198" t="s">
        <v>2783</v>
      </c>
      <c r="K45" s="199" t="s">
        <v>2776</v>
      </c>
      <c r="L45" s="191"/>
      <c r="M45" s="191"/>
    </row>
    <row r="46" ht="25.5" customHeight="1">
      <c r="A46" s="419" t="s">
        <v>2768</v>
      </c>
      <c r="B46" s="204" t="s">
        <v>2784</v>
      </c>
      <c r="C46" s="204" t="s">
        <v>2785</v>
      </c>
      <c r="D46" s="204" t="s">
        <v>2786</v>
      </c>
      <c r="E46" s="213" t="s">
        <v>2787</v>
      </c>
      <c r="F46" s="195" t="s">
        <v>1705</v>
      </c>
      <c r="G46" s="418">
        <v>46139</v>
      </c>
      <c r="H46" s="204" t="s">
        <v>2788</v>
      </c>
      <c r="I46" s="205" t="s">
        <v>2789</v>
      </c>
      <c r="J46" s="205" t="s">
        <v>2790</v>
      </c>
      <c r="K46" s="206" t="s">
        <v>2776</v>
      </c>
      <c r="L46" s="191"/>
      <c r="M46" s="191"/>
    </row>
    <row r="47" ht="25.5" customHeight="1">
      <c r="A47" s="421" t="s">
        <v>2791</v>
      </c>
      <c r="B47" s="422" t="s">
        <v>2792</v>
      </c>
      <c r="C47" s="422" t="s">
        <v>2793</v>
      </c>
      <c r="D47" s="245" t="s">
        <v>2794</v>
      </c>
      <c r="E47" s="423" t="s">
        <v>2795</v>
      </c>
      <c r="F47" s="195" t="s">
        <v>1711</v>
      </c>
      <c r="G47" s="424">
        <v>46148</v>
      </c>
      <c r="H47" s="245" t="s">
        <v>2796</v>
      </c>
      <c r="I47" s="246" t="s">
        <v>2797</v>
      </c>
      <c r="J47" s="246" t="s">
        <v>2798</v>
      </c>
      <c r="K47" s="247" t="s">
        <v>2799</v>
      </c>
      <c r="L47" s="191"/>
      <c r="M47" s="191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 tooltip=""/>
    <hyperlink r:id="rId24" ref="J25" tooltip="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  <hyperlink r:id="rId43" ref="I44" tooltip=""/>
    <hyperlink r:id="rId43" ref="J44" tooltip=""/>
    <hyperlink r:id="rId44" ref="I45" tooltip=""/>
    <hyperlink r:id="rId44" ref="J45" tooltip=""/>
    <hyperlink r:id="rId45" ref="I46" tooltip=""/>
    <hyperlink r:id="rId45" ref="J46" tooltip=""/>
    <hyperlink r:id="rId46" ref="I47" tooltip=""/>
    <hyperlink r:id="rId46" ref="J4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5" t="s">
        <v>2800</v>
      </c>
      <c r="B1" s="425" t="s">
        <v>2801</v>
      </c>
    </row>
    <row r="2">
      <c r="A2" s="426" t="s">
        <v>2802</v>
      </c>
      <c r="B2" s="426" t="s">
        <v>2803</v>
      </c>
    </row>
    <row r="3">
      <c r="A3" s="426" t="s">
        <v>2804</v>
      </c>
      <c r="B3" s="426" t="s">
        <v>2805</v>
      </c>
    </row>
    <row r="4">
      <c r="A4" s="426" t="s">
        <v>2806</v>
      </c>
      <c r="B4" s="426" t="s">
        <v>2807</v>
      </c>
    </row>
    <row r="5">
      <c r="A5" s="426" t="s">
        <v>2808</v>
      </c>
      <c r="B5" s="426" t="s">
        <v>2809</v>
      </c>
    </row>
    <row r="6">
      <c r="A6" s="426" t="s">
        <v>2810</v>
      </c>
      <c r="B6" s="426" t="s">
        <v>2805</v>
      </c>
    </row>
    <row r="7">
      <c r="A7" s="426" t="s">
        <v>2811</v>
      </c>
      <c r="B7" s="426" t="s">
        <v>2812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6" t="s">
        <v>2813</v>
      </c>
      <c r="B1" s="426" t="s">
        <v>2814</v>
      </c>
      <c r="C1" s="426" t="s">
        <v>2815</v>
      </c>
      <c r="D1" s="426" t="s">
        <v>2816</v>
      </c>
      <c r="E1" s="426" t="s">
        <v>2817</v>
      </c>
      <c r="F1" s="426" t="s">
        <v>2818</v>
      </c>
      <c r="G1" s="426" t="s">
        <v>2819</v>
      </c>
      <c r="H1" s="426" t="s">
        <v>2820</v>
      </c>
      <c r="I1" s="426" t="s">
        <v>2821</v>
      </c>
      <c r="J1" s="426" t="s">
        <v>2822</v>
      </c>
      <c r="K1" s="426" t="s">
        <v>2823</v>
      </c>
      <c r="L1" s="426" t="s">
        <v>2824</v>
      </c>
      <c r="M1" s="426" t="s">
        <v>2825</v>
      </c>
      <c r="N1" s="426" t="s">
        <v>2826</v>
      </c>
      <c r="O1" s="426" t="s">
        <v>2827</v>
      </c>
      <c r="P1" s="426" t="s">
        <v>2828</v>
      </c>
      <c r="Q1" s="426" t="s">
        <v>2829</v>
      </c>
      <c r="R1" s="426" t="s">
        <v>2830</v>
      </c>
      <c r="S1" s="426" t="s">
        <v>2831</v>
      </c>
      <c r="T1" s="426" t="s">
        <v>2832</v>
      </c>
      <c r="U1" s="426" t="s">
        <v>2833</v>
      </c>
      <c r="V1" s="426" t="s">
        <v>2834</v>
      </c>
      <c r="W1" s="426" t="s">
        <v>2835</v>
      </c>
      <c r="X1" s="426" t="s">
        <v>2836</v>
      </c>
      <c r="Y1" s="426" t="s">
        <v>2837</v>
      </c>
      <c r="Z1" s="426" t="s">
        <v>2838</v>
      </c>
      <c r="AA1" s="426" t="s">
        <v>2839</v>
      </c>
      <c r="AB1" s="426" t="s">
        <v>2840</v>
      </c>
      <c r="AC1" s="426" t="s">
        <v>2841</v>
      </c>
    </row>
    <row r="2">
      <c r="A2" s="426" t="s">
        <v>2842</v>
      </c>
      <c r="B2" s="426" t="s">
        <v>2843</v>
      </c>
      <c r="C2" s="426" t="s">
        <v>2844</v>
      </c>
      <c r="D2" s="426">
        <v>650628832</v>
      </c>
      <c r="E2" s="426">
        <v>1</v>
      </c>
      <c r="F2" s="426">
        <v>2</v>
      </c>
      <c r="G2" s="426" t="s">
        <v>2845</v>
      </c>
      <c r="H2" s="426" t="s">
        <v>2846</v>
      </c>
      <c r="I2" s="426" t="s">
        <v>2846</v>
      </c>
      <c r="J2" s="426" t="s">
        <v>2847</v>
      </c>
      <c r="K2" s="426" t="s">
        <v>2848</v>
      </c>
      <c r="L2" s="426" t="s">
        <v>2848</v>
      </c>
      <c r="M2" s="426" t="s">
        <v>2849</v>
      </c>
      <c r="N2" s="426" t="b">
        <v>1</v>
      </c>
      <c r="O2" s="426" t="s">
        <v>2850</v>
      </c>
      <c r="P2" s="426" t="b">
        <v>0</v>
      </c>
      <c r="R2" s="426" t="b">
        <v>1</v>
      </c>
      <c r="S2" s="426" t="b">
        <v>0</v>
      </c>
      <c r="X2" s="426" t="b">
        <v>0</v>
      </c>
      <c r="AA2" s="426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427" t="s">
        <v>2851</v>
      </c>
      <c r="B1" s="428" t="s">
        <v>1830</v>
      </c>
      <c r="C1" s="428" t="s">
        <v>1831</v>
      </c>
      <c r="D1" s="428" t="s">
        <v>2852</v>
      </c>
      <c r="E1" s="428" t="s">
        <v>2853</v>
      </c>
      <c r="F1" s="428" t="s">
        <v>2</v>
      </c>
      <c r="G1" s="428" t="s">
        <v>3</v>
      </c>
      <c r="H1" s="428" t="s">
        <v>4</v>
      </c>
      <c r="I1" s="429" t="s">
        <v>2854</v>
      </c>
      <c r="J1" s="429" t="s">
        <v>2855</v>
      </c>
      <c r="K1" s="429" t="s">
        <v>2856</v>
      </c>
      <c r="L1" s="430" t="s">
        <v>2857</v>
      </c>
      <c r="M1" s="431"/>
      <c r="N1" s="431"/>
    </row>
    <row r="2" ht="25.5" customHeight="1">
      <c r="A2" s="248" t="s">
        <v>2858</v>
      </c>
      <c r="B2" s="432" t="s">
        <v>2859</v>
      </c>
      <c r="C2" s="433" t="s">
        <v>2860</v>
      </c>
      <c r="D2" s="433" t="s">
        <v>2861</v>
      </c>
      <c r="E2" s="433" t="s">
        <v>2862</v>
      </c>
      <c r="F2" s="188" t="s">
        <v>2863</v>
      </c>
      <c r="G2" s="434" t="s">
        <v>1510</v>
      </c>
      <c r="H2" s="187">
        <v>46139</v>
      </c>
      <c r="I2" s="188" t="s">
        <v>2864</v>
      </c>
      <c r="J2" s="189" t="s">
        <v>2865</v>
      </c>
      <c r="K2" s="189" t="s">
        <v>2863</v>
      </c>
      <c r="L2" s="190" t="s">
        <v>2866</v>
      </c>
      <c r="M2" s="191"/>
      <c r="N2" s="191"/>
    </row>
    <row r="3" ht="25.5" customHeight="1">
      <c r="A3" s="435" t="s">
        <v>2858</v>
      </c>
      <c r="B3" s="436" t="s">
        <v>2867</v>
      </c>
      <c r="C3" s="436" t="s">
        <v>2868</v>
      </c>
      <c r="D3" s="436" t="s">
        <v>2869</v>
      </c>
      <c r="E3" s="436" t="s">
        <v>2870</v>
      </c>
      <c r="F3" s="197" t="s">
        <v>2772</v>
      </c>
      <c r="G3" s="437" t="s">
        <v>1517</v>
      </c>
      <c r="H3" s="196">
        <v>46139</v>
      </c>
      <c r="I3" s="197" t="s">
        <v>2871</v>
      </c>
      <c r="J3" s="198" t="s">
        <v>2872</v>
      </c>
      <c r="K3" s="198" t="s">
        <v>2772</v>
      </c>
      <c r="L3" s="199" t="s">
        <v>2866</v>
      </c>
      <c r="M3" s="191"/>
      <c r="N3" s="191"/>
    </row>
    <row r="4" ht="25.5" customHeight="1">
      <c r="A4" s="435" t="s">
        <v>2858</v>
      </c>
      <c r="B4" s="438" t="s">
        <v>2873</v>
      </c>
      <c r="C4" s="438" t="s">
        <v>2874</v>
      </c>
      <c r="D4" s="438" t="s">
        <v>2875</v>
      </c>
      <c r="E4" s="438" t="s">
        <v>2876</v>
      </c>
      <c r="F4" s="204" t="s">
        <v>2877</v>
      </c>
      <c r="G4" s="439" t="s">
        <v>1523</v>
      </c>
      <c r="H4" s="203">
        <v>46139</v>
      </c>
      <c r="I4" s="204" t="s">
        <v>2878</v>
      </c>
      <c r="J4" s="205" t="s">
        <v>2879</v>
      </c>
      <c r="K4" s="205" t="s">
        <v>2877</v>
      </c>
      <c r="L4" s="206" t="s">
        <v>2880</v>
      </c>
      <c r="M4" s="191"/>
      <c r="N4" s="191"/>
    </row>
    <row r="5" ht="25.5" customHeight="1">
      <c r="A5" s="435" t="s">
        <v>2858</v>
      </c>
      <c r="B5" s="436" t="s">
        <v>2881</v>
      </c>
      <c r="C5" s="436" t="s">
        <v>2882</v>
      </c>
      <c r="D5" s="436" t="s">
        <v>2883</v>
      </c>
      <c r="E5" s="436" t="s">
        <v>2884</v>
      </c>
      <c r="F5" s="197" t="s">
        <v>2885</v>
      </c>
      <c r="G5" s="437" t="s">
        <v>1529</v>
      </c>
      <c r="H5" s="196">
        <v>46139</v>
      </c>
      <c r="I5" s="197" t="s">
        <v>2886</v>
      </c>
      <c r="J5" s="198" t="s">
        <v>2887</v>
      </c>
      <c r="K5" s="198" t="s">
        <v>2885</v>
      </c>
      <c r="L5" s="199" t="s">
        <v>2880</v>
      </c>
      <c r="M5" s="191"/>
      <c r="N5" s="191"/>
    </row>
    <row r="6" ht="25.5" customHeight="1">
      <c r="A6" s="435" t="s">
        <v>2858</v>
      </c>
      <c r="B6" s="438" t="s">
        <v>2888</v>
      </c>
      <c r="C6" s="438" t="s">
        <v>2889</v>
      </c>
      <c r="D6" s="438" t="s">
        <v>2890</v>
      </c>
      <c r="E6" s="438" t="s">
        <v>2891</v>
      </c>
      <c r="F6" s="204" t="s">
        <v>2892</v>
      </c>
      <c r="G6" s="439" t="s">
        <v>1535</v>
      </c>
      <c r="H6" s="203">
        <v>46139</v>
      </c>
      <c r="I6" s="204" t="s">
        <v>2893</v>
      </c>
      <c r="J6" s="205" t="s">
        <v>2894</v>
      </c>
      <c r="K6" s="205" t="s">
        <v>2892</v>
      </c>
      <c r="L6" s="206" t="s">
        <v>2880</v>
      </c>
      <c r="M6" s="191"/>
      <c r="N6" s="191"/>
    </row>
    <row r="7" ht="25.5" customHeight="1">
      <c r="A7" s="435" t="s">
        <v>2858</v>
      </c>
      <c r="B7" s="436" t="s">
        <v>2895</v>
      </c>
      <c r="C7" s="436" t="s">
        <v>2896</v>
      </c>
      <c r="D7" s="436" t="s">
        <v>2897</v>
      </c>
      <c r="E7" s="436" t="s">
        <v>2898</v>
      </c>
      <c r="F7" s="197" t="s">
        <v>2899</v>
      </c>
      <c r="G7" s="437" t="s">
        <v>1541</v>
      </c>
      <c r="H7" s="196">
        <v>46139</v>
      </c>
      <c r="I7" s="197" t="s">
        <v>2900</v>
      </c>
      <c r="J7" s="198" t="s">
        <v>2901</v>
      </c>
      <c r="K7" s="198" t="s">
        <v>2899</v>
      </c>
      <c r="L7" s="199" t="s">
        <v>2880</v>
      </c>
      <c r="M7" s="191"/>
      <c r="N7" s="191"/>
    </row>
    <row r="8" ht="25.5" customHeight="1">
      <c r="A8" s="435" t="s">
        <v>2858</v>
      </c>
      <c r="B8" s="438" t="s">
        <v>2902</v>
      </c>
      <c r="C8" s="438" t="s">
        <v>2903</v>
      </c>
      <c r="D8" s="438" t="s">
        <v>2904</v>
      </c>
      <c r="E8" s="438" t="s">
        <v>2905</v>
      </c>
      <c r="F8" s="204" t="s">
        <v>2780</v>
      </c>
      <c r="G8" s="439" t="s">
        <v>1547</v>
      </c>
      <c r="H8" s="203">
        <v>46139</v>
      </c>
      <c r="I8" s="204" t="s">
        <v>2906</v>
      </c>
      <c r="J8" s="205" t="s">
        <v>2907</v>
      </c>
      <c r="K8" s="205" t="s">
        <v>2780</v>
      </c>
      <c r="L8" s="206" t="s">
        <v>2880</v>
      </c>
      <c r="M8" s="191"/>
      <c r="N8" s="191"/>
    </row>
    <row r="9" ht="25.5" customHeight="1">
      <c r="A9" s="435" t="s">
        <v>2858</v>
      </c>
      <c r="B9" s="436" t="s">
        <v>2908</v>
      </c>
      <c r="C9" s="436" t="s">
        <v>2909</v>
      </c>
      <c r="D9" s="436" t="s">
        <v>2910</v>
      </c>
      <c r="E9" s="436" t="s">
        <v>2911</v>
      </c>
      <c r="F9" s="197" t="s">
        <v>2912</v>
      </c>
      <c r="G9" s="437" t="s">
        <v>1554</v>
      </c>
      <c r="H9" s="196">
        <v>46139</v>
      </c>
      <c r="I9" s="197" t="s">
        <v>2913</v>
      </c>
      <c r="J9" s="198" t="s">
        <v>2914</v>
      </c>
      <c r="K9" s="198" t="s">
        <v>2912</v>
      </c>
      <c r="L9" s="199" t="s">
        <v>2880</v>
      </c>
      <c r="M9" s="191"/>
      <c r="N9" s="191"/>
    </row>
    <row r="10" ht="25.5" customHeight="1">
      <c r="A10" s="435" t="s">
        <v>2858</v>
      </c>
      <c r="B10" s="438" t="s">
        <v>2915</v>
      </c>
      <c r="C10" s="438" t="s">
        <v>2916</v>
      </c>
      <c r="D10" s="438" t="s">
        <v>2917</v>
      </c>
      <c r="E10" s="438" t="s">
        <v>2918</v>
      </c>
      <c r="F10" s="204" t="s">
        <v>2919</v>
      </c>
      <c r="G10" s="440" t="s">
        <v>1560</v>
      </c>
      <c r="H10" s="203">
        <v>46139</v>
      </c>
      <c r="I10" s="204" t="s">
        <v>2920</v>
      </c>
      <c r="J10" s="205" t="s">
        <v>2921</v>
      </c>
      <c r="K10" s="205" t="s">
        <v>2919</v>
      </c>
      <c r="L10" s="206" t="s">
        <v>2922</v>
      </c>
      <c r="M10" s="191"/>
      <c r="N10" s="191"/>
    </row>
    <row r="11" ht="25.5" customHeight="1">
      <c r="A11" s="441" t="s">
        <v>1622</v>
      </c>
      <c r="B11" s="436" t="s">
        <v>2923</v>
      </c>
      <c r="C11" s="436" t="s">
        <v>2924</v>
      </c>
      <c r="D11" s="442" t="s">
        <v>2925</v>
      </c>
      <c r="E11" s="442" t="s">
        <v>2926</v>
      </c>
      <c r="F11" s="231" t="s">
        <v>2927</v>
      </c>
      <c r="G11" s="195" t="s">
        <v>2928</v>
      </c>
      <c r="H11" s="196">
        <v>46139</v>
      </c>
      <c r="I11" s="197" t="s">
        <v>2929</v>
      </c>
      <c r="J11" s="198" t="s">
        <v>2930</v>
      </c>
      <c r="K11" s="198" t="s">
        <v>2927</v>
      </c>
      <c r="L11" s="199" t="s">
        <v>2338</v>
      </c>
      <c r="M11" s="191"/>
      <c r="N11" s="191"/>
    </row>
    <row r="12" ht="25.5" customHeight="1">
      <c r="A12" s="443" t="s">
        <v>1622</v>
      </c>
      <c r="B12" s="438" t="s">
        <v>2931</v>
      </c>
      <c r="C12" s="438" t="s">
        <v>2932</v>
      </c>
      <c r="D12" s="444" t="s">
        <v>2933</v>
      </c>
      <c r="E12" s="444" t="s">
        <v>2934</v>
      </c>
      <c r="F12" s="213" t="s">
        <v>2935</v>
      </c>
      <c r="G12" s="195" t="s">
        <v>2936</v>
      </c>
      <c r="H12" s="203">
        <v>46139</v>
      </c>
      <c r="I12" s="204" t="s">
        <v>2937</v>
      </c>
      <c r="J12" s="205" t="s">
        <v>2938</v>
      </c>
      <c r="K12" s="205" t="s">
        <v>2935</v>
      </c>
      <c r="L12" s="206" t="s">
        <v>2338</v>
      </c>
      <c r="M12" s="191"/>
      <c r="N12" s="191"/>
    </row>
    <row r="13" ht="25.5" customHeight="1">
      <c r="A13" s="443" t="s">
        <v>1622</v>
      </c>
      <c r="B13" s="436" t="s">
        <v>2939</v>
      </c>
      <c r="C13" s="436" t="s">
        <v>2940</v>
      </c>
      <c r="D13" s="442" t="s">
        <v>2941</v>
      </c>
      <c r="E13" s="442" t="s">
        <v>2933</v>
      </c>
      <c r="F13" s="231" t="s">
        <v>2942</v>
      </c>
      <c r="G13" s="195" t="s">
        <v>2943</v>
      </c>
      <c r="H13" s="196">
        <v>46139</v>
      </c>
      <c r="I13" s="197" t="s">
        <v>2944</v>
      </c>
      <c r="J13" s="198" t="s">
        <v>2945</v>
      </c>
      <c r="K13" s="198" t="s">
        <v>2942</v>
      </c>
      <c r="L13" s="199" t="s">
        <v>2338</v>
      </c>
      <c r="M13" s="191"/>
      <c r="N13" s="191"/>
    </row>
    <row r="14" ht="25.5" customHeight="1">
      <c r="A14" s="443" t="s">
        <v>1622</v>
      </c>
      <c r="B14" s="438" t="s">
        <v>2946</v>
      </c>
      <c r="C14" s="438" t="s">
        <v>2947</v>
      </c>
      <c r="D14" s="444" t="s">
        <v>2948</v>
      </c>
      <c r="E14" s="444" t="s">
        <v>2949</v>
      </c>
      <c r="F14" s="213" t="s">
        <v>2950</v>
      </c>
      <c r="G14" s="195" t="s">
        <v>2951</v>
      </c>
      <c r="H14" s="203">
        <v>46139</v>
      </c>
      <c r="I14" s="204" t="s">
        <v>2952</v>
      </c>
      <c r="J14" s="205" t="s">
        <v>2953</v>
      </c>
      <c r="K14" s="205" t="s">
        <v>2950</v>
      </c>
      <c r="L14" s="206" t="s">
        <v>2338</v>
      </c>
      <c r="M14" s="191"/>
      <c r="N14" s="191"/>
    </row>
    <row r="15" ht="25.5" customHeight="1">
      <c r="A15" s="443" t="s">
        <v>1622</v>
      </c>
      <c r="B15" s="438" t="s">
        <v>2954</v>
      </c>
      <c r="C15" s="438" t="s">
        <v>2955</v>
      </c>
      <c r="D15" s="444" t="s">
        <v>2956</v>
      </c>
      <c r="E15" s="444" t="s">
        <v>2957</v>
      </c>
      <c r="F15" s="213" t="s">
        <v>2958</v>
      </c>
      <c r="G15" s="195" t="s">
        <v>2959</v>
      </c>
      <c r="H15" s="203">
        <v>46139</v>
      </c>
      <c r="I15" s="204" t="s">
        <v>2960</v>
      </c>
      <c r="J15" s="205" t="s">
        <v>2961</v>
      </c>
      <c r="K15" s="205" t="s">
        <v>2958</v>
      </c>
      <c r="L15" s="206" t="s">
        <v>2345</v>
      </c>
      <c r="M15" s="191"/>
      <c r="N15" s="191"/>
    </row>
    <row r="16" ht="25.5" customHeight="1">
      <c r="A16" s="443" t="s">
        <v>1622</v>
      </c>
      <c r="B16" s="436" t="s">
        <v>2962</v>
      </c>
      <c r="C16" s="436" t="s">
        <v>2963</v>
      </c>
      <c r="D16" s="442" t="s">
        <v>2964</v>
      </c>
      <c r="E16" s="442" t="s">
        <v>2965</v>
      </c>
      <c r="F16" s="231" t="s">
        <v>2966</v>
      </c>
      <c r="G16" s="195" t="s">
        <v>2967</v>
      </c>
      <c r="H16" s="196">
        <v>46139</v>
      </c>
      <c r="I16" s="197" t="s">
        <v>2968</v>
      </c>
      <c r="J16" s="198" t="s">
        <v>2969</v>
      </c>
      <c r="K16" s="198" t="s">
        <v>2966</v>
      </c>
      <c r="L16" s="199" t="s">
        <v>2345</v>
      </c>
      <c r="M16" s="191"/>
      <c r="N16" s="191"/>
    </row>
    <row r="17" ht="25.5" customHeight="1">
      <c r="A17" s="367" t="s">
        <v>2671</v>
      </c>
      <c r="B17" s="436" t="s">
        <v>2970</v>
      </c>
      <c r="C17" s="436" t="s">
        <v>2971</v>
      </c>
      <c r="D17" s="442" t="s">
        <v>2972</v>
      </c>
      <c r="E17" s="442" t="s">
        <v>2973</v>
      </c>
      <c r="F17" s="231" t="s">
        <v>2974</v>
      </c>
      <c r="G17" s="195" t="s">
        <v>2975</v>
      </c>
      <c r="H17" s="196">
        <v>46139</v>
      </c>
      <c r="I17" s="197" t="s">
        <v>2976</v>
      </c>
      <c r="J17" s="198" t="s">
        <v>2977</v>
      </c>
      <c r="K17" s="198" t="s">
        <v>2974</v>
      </c>
      <c r="L17" s="199" t="s">
        <v>2978</v>
      </c>
      <c r="M17" s="191"/>
      <c r="N17" s="191"/>
    </row>
    <row r="18" ht="25.5" customHeight="1">
      <c r="A18" s="368" t="s">
        <v>2671</v>
      </c>
      <c r="B18" s="438" t="s">
        <v>2979</v>
      </c>
      <c r="C18" s="438" t="s">
        <v>2980</v>
      </c>
      <c r="D18" s="444" t="s">
        <v>2981</v>
      </c>
      <c r="E18" s="444" t="s">
        <v>2982</v>
      </c>
      <c r="F18" s="213" t="s">
        <v>2983</v>
      </c>
      <c r="G18" s="195" t="s">
        <v>2984</v>
      </c>
      <c r="H18" s="203">
        <v>46139</v>
      </c>
      <c r="I18" s="204" t="s">
        <v>2985</v>
      </c>
      <c r="J18" s="205" t="s">
        <v>2986</v>
      </c>
      <c r="K18" s="205" t="s">
        <v>2983</v>
      </c>
      <c r="L18" s="206" t="s">
        <v>2978</v>
      </c>
      <c r="M18" s="191"/>
      <c r="N18" s="191"/>
    </row>
    <row r="19" ht="25.5" customHeight="1">
      <c r="A19" s="368" t="s">
        <v>2671</v>
      </c>
      <c r="B19" s="436" t="s">
        <v>2987</v>
      </c>
      <c r="C19" s="436" t="s">
        <v>2988</v>
      </c>
      <c r="D19" s="442" t="s">
        <v>2989</v>
      </c>
      <c r="E19" s="442" t="s">
        <v>2990</v>
      </c>
      <c r="F19" s="231" t="s">
        <v>2991</v>
      </c>
      <c r="G19" s="195" t="s">
        <v>2992</v>
      </c>
      <c r="H19" s="196">
        <v>46139</v>
      </c>
      <c r="I19" s="197" t="s">
        <v>2993</v>
      </c>
      <c r="J19" s="198" t="s">
        <v>2994</v>
      </c>
      <c r="K19" s="198" t="s">
        <v>2991</v>
      </c>
      <c r="L19" s="199" t="s">
        <v>2978</v>
      </c>
      <c r="M19" s="191"/>
      <c r="N19" s="191"/>
    </row>
    <row r="20" ht="25.5" customHeight="1">
      <c r="A20" s="368" t="s">
        <v>2671</v>
      </c>
      <c r="B20" s="438" t="s">
        <v>2995</v>
      </c>
      <c r="C20" s="438" t="s">
        <v>2996</v>
      </c>
      <c r="D20" s="444" t="s">
        <v>2997</v>
      </c>
      <c r="E20" s="444" t="s">
        <v>2998</v>
      </c>
      <c r="F20" s="213" t="s">
        <v>2999</v>
      </c>
      <c r="G20" s="195" t="s">
        <v>3000</v>
      </c>
      <c r="H20" s="203">
        <v>46139</v>
      </c>
      <c r="I20" s="204" t="s">
        <v>3001</v>
      </c>
      <c r="J20" s="205" t="s">
        <v>3002</v>
      </c>
      <c r="K20" s="205" t="s">
        <v>2999</v>
      </c>
      <c r="L20" s="206" t="s">
        <v>3003</v>
      </c>
      <c r="M20" s="191"/>
      <c r="N20" s="191"/>
    </row>
    <row r="21" ht="25.5" customHeight="1">
      <c r="A21" s="368" t="s">
        <v>2671</v>
      </c>
      <c r="B21" s="436" t="s">
        <v>3004</v>
      </c>
      <c r="C21" s="436" t="s">
        <v>3005</v>
      </c>
      <c r="D21" s="442" t="s">
        <v>3006</v>
      </c>
      <c r="E21" s="442" t="s">
        <v>3007</v>
      </c>
      <c r="F21" s="231" t="s">
        <v>3008</v>
      </c>
      <c r="G21" s="195" t="s">
        <v>3009</v>
      </c>
      <c r="H21" s="196">
        <v>46139</v>
      </c>
      <c r="I21" s="197" t="s">
        <v>3010</v>
      </c>
      <c r="J21" s="198" t="s">
        <v>3011</v>
      </c>
      <c r="K21" s="198" t="s">
        <v>3008</v>
      </c>
      <c r="L21" s="199" t="s">
        <v>3003</v>
      </c>
      <c r="M21" s="191"/>
      <c r="N21" s="191"/>
    </row>
    <row r="22" ht="25.5" customHeight="1">
      <c r="A22" s="368" t="s">
        <v>2671</v>
      </c>
      <c r="B22" s="438" t="s">
        <v>3012</v>
      </c>
      <c r="C22" s="438" t="s">
        <v>3013</v>
      </c>
      <c r="D22" s="444" t="s">
        <v>3014</v>
      </c>
      <c r="E22" s="444" t="s">
        <v>3015</v>
      </c>
      <c r="F22" s="213" t="s">
        <v>3016</v>
      </c>
      <c r="G22" s="195" t="s">
        <v>3017</v>
      </c>
      <c r="H22" s="203">
        <v>46139</v>
      </c>
      <c r="I22" s="204" t="s">
        <v>3018</v>
      </c>
      <c r="J22" s="205" t="s">
        <v>3019</v>
      </c>
      <c r="K22" s="205" t="s">
        <v>3016</v>
      </c>
      <c r="L22" s="206" t="s">
        <v>3003</v>
      </c>
      <c r="M22" s="191"/>
      <c r="N22" s="191"/>
    </row>
    <row r="23" ht="25.5" customHeight="1">
      <c r="A23" s="445" t="s">
        <v>3020</v>
      </c>
      <c r="B23" s="438" t="s">
        <v>3021</v>
      </c>
      <c r="C23" s="438" t="s">
        <v>3022</v>
      </c>
      <c r="D23" s="444" t="s">
        <v>3023</v>
      </c>
      <c r="E23" s="444" t="s">
        <v>3024</v>
      </c>
      <c r="F23" s="213" t="s">
        <v>3025</v>
      </c>
      <c r="G23" s="195" t="s">
        <v>1658</v>
      </c>
      <c r="H23" s="203">
        <v>46139</v>
      </c>
      <c r="I23" s="204" t="s">
        <v>3026</v>
      </c>
      <c r="J23" s="205" t="s">
        <v>3027</v>
      </c>
      <c r="K23" s="205" t="s">
        <v>3025</v>
      </c>
      <c r="L23" s="206" t="s">
        <v>2395</v>
      </c>
      <c r="M23" s="191"/>
      <c r="N23" s="191"/>
    </row>
    <row r="24" ht="25.5" customHeight="1">
      <c r="A24" s="446" t="s">
        <v>3020</v>
      </c>
      <c r="B24" s="436" t="s">
        <v>3028</v>
      </c>
      <c r="C24" s="436" t="s">
        <v>3029</v>
      </c>
      <c r="D24" s="442" t="s">
        <v>3030</v>
      </c>
      <c r="E24" s="442" t="s">
        <v>3031</v>
      </c>
      <c r="F24" s="231" t="s">
        <v>3032</v>
      </c>
      <c r="G24" s="195" t="s">
        <v>3033</v>
      </c>
      <c r="H24" s="196">
        <v>46139</v>
      </c>
      <c r="I24" s="197" t="s">
        <v>3034</v>
      </c>
      <c r="J24" s="198" t="s">
        <v>3035</v>
      </c>
      <c r="K24" s="198" t="s">
        <v>3032</v>
      </c>
      <c r="L24" s="199" t="s">
        <v>2395</v>
      </c>
      <c r="M24" s="191"/>
      <c r="N24" s="191"/>
    </row>
    <row r="25" ht="25.5" customHeight="1">
      <c r="A25" s="446" t="s">
        <v>3020</v>
      </c>
      <c r="B25" s="447" t="s">
        <v>3036</v>
      </c>
      <c r="C25" s="447" t="s">
        <v>3037</v>
      </c>
      <c r="D25" s="448" t="s">
        <v>3038</v>
      </c>
      <c r="E25" s="448" t="s">
        <v>3039</v>
      </c>
      <c r="F25" s="234" t="s">
        <v>3040</v>
      </c>
      <c r="G25" s="195" t="s">
        <v>3041</v>
      </c>
      <c r="H25" s="235">
        <v>46139</v>
      </c>
      <c r="I25" s="236" t="s">
        <v>3042</v>
      </c>
      <c r="J25" s="237" t="s">
        <v>3043</v>
      </c>
      <c r="K25" s="237" t="s">
        <v>3040</v>
      </c>
      <c r="L25" s="238" t="s">
        <v>3044</v>
      </c>
      <c r="M25" s="191"/>
      <c r="N25" s="191"/>
    </row>
    <row r="26" ht="25.5" customHeight="1">
      <c r="A26" s="446" t="s">
        <v>3020</v>
      </c>
      <c r="B26" s="438" t="s">
        <v>3045</v>
      </c>
      <c r="C26" s="438" t="s">
        <v>3046</v>
      </c>
      <c r="D26" s="444" t="s">
        <v>3047</v>
      </c>
      <c r="E26" s="444" t="s">
        <v>3048</v>
      </c>
      <c r="F26" s="213" t="s">
        <v>3049</v>
      </c>
      <c r="G26" s="195" t="s">
        <v>3050</v>
      </c>
      <c r="H26" s="203">
        <v>46139</v>
      </c>
      <c r="I26" s="204" t="s">
        <v>3051</v>
      </c>
      <c r="J26" s="205" t="s">
        <v>3052</v>
      </c>
      <c r="K26" s="205" t="s">
        <v>3049</v>
      </c>
      <c r="L26" s="206" t="s">
        <v>3053</v>
      </c>
      <c r="M26" s="191"/>
      <c r="N26" s="191"/>
    </row>
    <row r="27" ht="25.5" customHeight="1">
      <c r="A27" s="446" t="s">
        <v>3020</v>
      </c>
      <c r="B27" s="436" t="s">
        <v>3054</v>
      </c>
      <c r="C27" s="436" t="s">
        <v>3055</v>
      </c>
      <c r="D27" s="442" t="s">
        <v>3056</v>
      </c>
      <c r="E27" s="442" t="s">
        <v>3057</v>
      </c>
      <c r="F27" s="231" t="s">
        <v>3058</v>
      </c>
      <c r="G27" s="195" t="s">
        <v>3059</v>
      </c>
      <c r="H27" s="196">
        <v>46139</v>
      </c>
      <c r="I27" s="197" t="s">
        <v>3060</v>
      </c>
      <c r="J27" s="198" t="s">
        <v>3061</v>
      </c>
      <c r="K27" s="198" t="s">
        <v>3058</v>
      </c>
      <c r="L27" s="199" t="s">
        <v>3062</v>
      </c>
      <c r="M27" s="191"/>
      <c r="N27" s="191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2026-05-09T10:33:43Z</dcterms:modified>
</cp:coreProperties>
</file>